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 firstSheet="1"/>
  </bookViews>
  <sheets>
    <sheet name="数据统计" sheetId="2" r:id="rId1"/>
    <sheet name="暴露面" sheetId="13" r:id="rId2"/>
    <sheet name="内网漏洞表" sheetId="5" r:id="rId3"/>
    <sheet name="互联网漏洞表" sheetId="16" r:id="rId4"/>
    <sheet name="资产表" sheetId="10" r:id="rId5"/>
    <sheet name="告警表" sheetId="14" r:id="rId6"/>
    <sheet name="事件表" sheetId="6" r:id="rId7"/>
    <sheet name="内网弱密码表" sheetId="15" r:id="rId8"/>
    <sheet name="互联网弱密码表" sheetId="17" r:id="rId9"/>
  </sheets>
  <definedNames>
    <definedName name="_xlnm._FilterDatabase" localSheetId="1" hidden="1">暴露面!#REF!</definedName>
    <definedName name="_xlnm._FilterDatabase" localSheetId="2" hidden="1">内网漏洞表!#REF!</definedName>
    <definedName name="_xlnm._FilterDatabase" localSheetId="4" hidden="1">资产表!#REF!</definedName>
    <definedName name="_xlnm._FilterDatabase" localSheetId="5" hidden="1">告警表!#REF!</definedName>
    <definedName name="_xlnm._FilterDatabase" localSheetId="6" hidden="1">事件表!#REF!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<sst xmlns="http://schemas.openxmlformats.org/spreadsheetml/2006/main" count="219" uniqueCount="199">
  <si>
    <t>注：填充色为浅黄色的单元格需要手动查找数据填充</t>
  </si>
  <si>
    <t>统计周期</t>
  </si>
  <si>
    <t>P8</t>
  </si>
  <si>
    <t>TOP3的核心业务系统</t>
  </si>
  <si>
    <t>手写-系统1</t>
  </si>
  <si>
    <t>威胁运营</t>
  </si>
  <si>
    <t>护网时间</t>
  </si>
  <si>
    <t>用户传入的护网时间，可选</t>
  </si>
  <si>
    <t>手写-系统2</t>
  </si>
  <si>
    <t>安全策略调优数量</t>
  </si>
  <si>
    <t>手写-策略调优数量</t>
  </si>
  <si>
    <t>时间内节假日</t>
  </si>
  <si>
    <t>其余假日：时间范围
中秋、国庆、元旦、春节、清明、五一、端午（展示最多一年内的七个法定节假日）</t>
  </si>
  <si>
    <t>手写-系统3</t>
  </si>
  <si>
    <t>威胁告警总</t>
  </si>
  <si>
    <t>安全风险总数</t>
  </si>
  <si>
    <t>核心系统威胁告警数量</t>
  </si>
  <si>
    <t>TOP3核心资产漏洞分布</t>
  </si>
  <si>
    <t>手写</t>
  </si>
  <si>
    <t>威胁平均遏制时间</t>
  </si>
  <si>
    <t>处置安全事件总数</t>
  </si>
  <si>
    <t>事件平均响应时长</t>
  </si>
  <si>
    <t>高危可利用漏洞数</t>
  </si>
  <si>
    <t>核心系统事件数量</t>
  </si>
  <si>
    <t>管理员弱口令数量</t>
  </si>
  <si>
    <t>最新漏洞影响资产数</t>
  </si>
  <si>
    <t>核心系统风险总数</t>
  </si>
  <si>
    <t>已闭环风险数</t>
  </si>
  <si>
    <t>核心系统风险闭环风险数</t>
  </si>
  <si>
    <t>已防护漏洞数</t>
  </si>
  <si>
    <t>核心系统威胁事件总数</t>
  </si>
  <si>
    <t>已修复漏洞数</t>
  </si>
  <si>
    <t>已处置弱口令数量</t>
  </si>
  <si>
    <t>业务系统数量</t>
  </si>
  <si>
    <t>受影响的最新漏洞数</t>
  </si>
  <si>
    <t>服务器资产数量</t>
  </si>
  <si>
    <t>系统X已闭环风险数</t>
  </si>
  <si>
    <t>PC资产数量</t>
  </si>
  <si>
    <t>P14</t>
  </si>
  <si>
    <t>被通报风险总数</t>
  </si>
  <si>
    <t>通报风险应对</t>
  </si>
  <si>
    <t>外联通报风险次数</t>
  </si>
  <si>
    <t>漏扫次数</t>
  </si>
  <si>
    <t>手写-漏扫次数</t>
  </si>
  <si>
    <t>已闭环漏洞总数</t>
  </si>
  <si>
    <t>已拦截外联次数</t>
  </si>
  <si>
    <t>恶意外联告警数</t>
  </si>
  <si>
    <t>本次汇报周期被通报次数</t>
  </si>
  <si>
    <t>手写-被通报次数</t>
  </si>
  <si>
    <t>P16</t>
  </si>
  <si>
    <t>「重要时期安全日志数」</t>
  </si>
  <si>
    <t>节假日，不算护网时间</t>
  </si>
  <si>
    <t>重要时期保障</t>
  </si>
  <si>
    <t>「重要时期告警数」</t>
  </si>
  <si>
    <t>「重要时期事件数」</t>
  </si>
  <si>
    <t>重大事故数</t>
  </si>
  <si>
    <t>手写-重大事故数</t>
  </si>
  <si>
    <t>P19</t>
  </si>
  <si>
    <t>资产覆盖率</t>
  </si>
  <si>
    <t>默认100%</t>
  </si>
  <si>
    <t>威胁遏制率</t>
  </si>
  <si>
    <t>高危漏洞防护率</t>
  </si>
  <si>
    <t>平均分析时间</t>
  </si>
  <si>
    <t>平均响应时间</t>
  </si>
  <si>
    <t>已闭环漏洞数量</t>
  </si>
  <si>
    <t>威胁和事件数量</t>
  </si>
  <si>
    <t>两名高级安全工程师成本</t>
  </si>
  <si>
    <t>手写-两名高级安全工程师成本</t>
  </si>
  <si>
    <t>P35</t>
  </si>
  <si>
    <t>安全事件总数</t>
  </si>
  <si>
    <t>事件平均响应时间</t>
  </si>
  <si>
    <t>事件平均处置时长</t>
  </si>
  <si>
    <t>事件闭环率</t>
  </si>
  <si>
    <t>安全事件类型TOP5</t>
  </si>
  <si>
    <t>平均处置时间（分钟）</t>
  </si>
  <si>
    <t>识别</t>
  </si>
  <si>
    <t>响应</t>
  </si>
  <si>
    <t>遏制</t>
  </si>
  <si>
    <t>处置</t>
  </si>
  <si>
    <t>闭环</t>
  </si>
  <si>
    <t>平均响应时效趋势</t>
  </si>
  <si>
    <t>月份</t>
  </si>
  <si>
    <t>平均响应时长</t>
  </si>
  <si>
    <t>P36</t>
  </si>
  <si>
    <t>外部攻击日志数量（XDR）</t>
  </si>
  <si>
    <t>攻击来源地域分布top5</t>
  </si>
  <si>
    <t>攻击数量</t>
  </si>
  <si>
    <t>攻击类型top5</t>
  </si>
  <si>
    <t>遭受外部攻击的主机</t>
  </si>
  <si>
    <t>日志数量</t>
  </si>
  <si>
    <t>威胁总览</t>
  </si>
  <si>
    <t>实时威胁告警数量</t>
  </si>
  <si>
    <t>MSS威胁工单数量</t>
  </si>
  <si>
    <t>威胁工单平均响应时间</t>
  </si>
  <si>
    <t>策略检查</t>
  </si>
  <si>
    <t>安全设备策略检查次数</t>
  </si>
  <si>
    <t>手写-安全设备策略检查次数</t>
  </si>
  <si>
    <t>已优化的策略风险数量</t>
  </si>
  <si>
    <t>手写-已优化的策略风险数量</t>
  </si>
  <si>
    <t>最新威胁</t>
  </si>
  <si>
    <t>最新威胁情报数量</t>
  </si>
  <si>
    <t>最新威胁影响资产数</t>
  </si>
  <si>
    <t>威胁运营趋势---XDR平台获取</t>
  </si>
  <si>
    <t>外部攻击数</t>
  </si>
  <si>
    <t>恶意外联数</t>
  </si>
  <si>
    <t>内部横向攻击数</t>
  </si>
  <si>
    <t>告警数</t>
  </si>
  <si>
    <t>有效事件数</t>
  </si>
  <si>
    <t>风险主机数</t>
  </si>
  <si>
    <t>P39</t>
  </si>
  <si>
    <t>已闭环外网资产漏洞数</t>
  </si>
  <si>
    <t>管理员弱密码数</t>
  </si>
  <si>
    <t>高危可利用漏洞闭环率</t>
  </si>
  <si>
    <t>互联网IP数量</t>
  </si>
  <si>
    <t>内网服务器资产数量</t>
  </si>
  <si>
    <t>漏洞扫描次数</t>
  </si>
  <si>
    <t>手写-漏洞扫描次数</t>
  </si>
  <si>
    <t>互联网端口数量</t>
  </si>
  <si>
    <t>内网MSS服务资产数</t>
  </si>
  <si>
    <t>暴露面风险端口数量</t>
  </si>
  <si>
    <t>内网MSS资产安全漏洞总数</t>
  </si>
  <si>
    <t>漏洞分布</t>
  </si>
  <si>
    <t>总数</t>
  </si>
  <si>
    <t>已闭环数</t>
  </si>
  <si>
    <t>闭环率</t>
  </si>
  <si>
    <t>外网资产漏洞数量</t>
  </si>
  <si>
    <t>高危漏洞</t>
  </si>
  <si>
    <t>中危漏洞</t>
  </si>
  <si>
    <t>低危漏洞</t>
  </si>
  <si>
    <t>漏洞趋势</t>
  </si>
  <si>
    <t>剩余漏洞数量</t>
  </si>
  <si>
    <t>已闭环漏洞数</t>
  </si>
  <si>
    <t>P40</t>
  </si>
  <si>
    <t>重要时期值守次数</t>
  </si>
  <si>
    <t>重要时期安全态势分布</t>
  </si>
  <si>
    <t>日均攻击数</t>
  </si>
  <si>
    <t>防御率</t>
  </si>
  <si>
    <t>概览数据</t>
  </si>
  <si>
    <t>重要时期安全事件数</t>
  </si>
  <si>
    <t>业务可用性保障</t>
  </si>
  <si>
    <t>P9</t>
  </si>
  <si>
    <t>接入组件数量</t>
  </si>
  <si>
    <t>xdr日志数</t>
  </si>
  <si>
    <t>NDR-sangfor</t>
  </si>
  <si>
    <t>xdr告警数</t>
  </si>
  <si>
    <t>AF</t>
  </si>
  <si>
    <t>xdr事件数</t>
  </si>
  <si>
    <t>STA</t>
  </si>
  <si>
    <t>已处置事件数</t>
  </si>
  <si>
    <t>第三方</t>
  </si>
  <si>
    <t>本地处置事件数</t>
  </si>
  <si>
    <t>EDR-sangfor</t>
  </si>
  <si>
    <t>mss处置事件数</t>
  </si>
  <si>
    <t>EDR</t>
  </si>
  <si>
    <t>不写</t>
  </si>
  <si>
    <t>自动处置事件数</t>
  </si>
  <si>
    <t>处置中事件数</t>
  </si>
  <si>
    <t>待处置事件数</t>
  </si>
  <si>
    <t>P12</t>
  </si>
  <si>
    <t>高危漏洞数</t>
  </si>
  <si>
    <t>未公开威胁去重资产数</t>
  </si>
  <si>
    <t>高危漏洞去重资产数</t>
  </si>
  <si>
    <t>系统1相关脆弱性和事件</t>
  </si>
  <si>
    <t>系统1相关已处置脆弱性和事件</t>
  </si>
  <si>
    <t>管理员弱口令去重资产数</t>
  </si>
  <si>
    <t>系统1已处置脆弱性占比</t>
  </si>
  <si>
    <t>未公开威胁事件数</t>
  </si>
  <si>
    <t>系统2相关脆弱性和事件</t>
  </si>
  <si>
    <t>系统2相关已处置脆弱性和事件</t>
  </si>
  <si>
    <t>系统2已处置脆弱性占比</t>
  </si>
  <si>
    <t>系统3相关脆弱性和事件</t>
  </si>
  <si>
    <t>已处置管理员弱口令数</t>
  </si>
  <si>
    <t>系统3相关已处置脆弱性和事件</t>
  </si>
  <si>
    <t>系统3已处置脆弱性占比</t>
  </si>
  <si>
    <t>P15</t>
  </si>
  <si>
    <t>预估降低被通报风险次数</t>
  </si>
  <si>
    <t>预估降低被通报风险次数-高危漏洞</t>
  </si>
  <si>
    <t>已处置弱口令数</t>
  </si>
  <si>
    <t>预估降低被通报风险次数-高危端口</t>
  </si>
  <si>
    <t>核心业务系统已处置弱口令数</t>
  </si>
  <si>
    <t>预估降低被通报风险次数-弱密码</t>
  </si>
  <si>
    <t>通告并处置木马事件数</t>
  </si>
  <si>
    <t>预估降低被通报风险次数-恶意外联</t>
  </si>
  <si>
    <t>弱密码表弱口令数</t>
  </si>
  <si>
    <t>EDR识别并处置数</t>
  </si>
  <si>
    <t>预估降低被通报风险次数-网站不良内容</t>
  </si>
  <si>
    <t>漏洞表弱口令数</t>
  </si>
  <si>
    <t>闭环安全隐患数</t>
  </si>
  <si>
    <t>P17</t>
  </si>
  <si>
    <t>暴露面数</t>
  </si>
  <si>
    <t>攻防演习防守保障</t>
  </si>
  <si>
    <t>HW及前一周已加固中高危漏洞数</t>
  </si>
  <si>
    <t>HW防守事件数</t>
  </si>
  <si>
    <t>P37</t>
  </si>
  <si>
    <t>告警定性</t>
  </si>
  <si>
    <t>告警定性分布</t>
  </si>
  <si>
    <t>事件定性</t>
  </si>
  <si>
    <t>事件定性数量</t>
  </si>
  <si>
    <t>事件定性分布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</si>
</sst>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yyyy/m/d;@"/>
    <numFmt numFmtId="178" formatCode="0.00_ "/>
    <numFmt numFmtId="179" formatCode="0\.0,&quot;万&quot;"/>
  </numFmts>
  <fonts count="27">
    <font>
      <sz val="11"/>
      <color theme="1"/>
      <name val="宋体"/>
      <charset val="134"/>
      <scheme val="minor"/>
    </font>
    <font>
      <sz val="10"/>
      <color rgb="FF14161A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rgb="FF000000"/>
      <name val="微软雅黑"/>
      <charset val="134"/>
    </font>
    <font>
      <sz val="11"/>
      <color theme="0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9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Fill="1" applyBorder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8" xfId="0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6" xfId="0" applyNumberFormat="1" applyFont="1" applyFill="1" applyBorder="1" applyAlignment="1" applyProtection="1">
      <alignment horizontal="center" vertical="center"/>
    </xf>
    <xf numFmtId="9" fontId="0" fillId="3" borderId="6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3" xfId="0" applyBorder="1">
      <alignment vertical="center"/>
    </xf>
    <xf numFmtId="178" fontId="0" fillId="0" borderId="6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0" fontId="0" fillId="0" borderId="14" xfId="0" applyBorder="1">
      <alignment vertical="center"/>
    </xf>
    <xf numFmtId="14" fontId="0" fillId="0" borderId="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14" fontId="0" fillId="4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>
      <alignment vertical="center"/>
    </xf>
    <xf numFmtId="0" fontId="3" fillId="4" borderId="6" xfId="0" applyFont="1" applyFill="1" applyBorder="1" applyAlignment="1">
      <alignment horizontal="right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right" vertical="center"/>
    </xf>
    <xf numFmtId="179" fontId="0" fillId="3" borderId="6" xfId="0" applyNumberForma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179" fontId="0" fillId="4" borderId="6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Border="1">
      <alignment vertical="center"/>
    </xf>
    <xf numFmtId="0" fontId="0" fillId="4" borderId="6" xfId="0" applyFill="1" applyBorder="1">
      <alignment vertical="center"/>
    </xf>
    <xf numFmtId="9" fontId="0" fillId="4" borderId="6" xfId="0" applyNumberForma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>
      <alignment vertical="center"/>
    </xf>
    <xf numFmtId="17" fontId="0" fillId="0" borderId="1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9" fontId="0" fillId="0" borderId="6" xfId="0" applyNumberFormat="1" applyBorder="1">
      <alignment vertical="center"/>
    </xf>
    <xf numFmtId="0" fontId="6" fillId="4" borderId="14" xfId="0" applyFont="1" applyFill="1" applyBorder="1">
      <alignment vertical="center"/>
    </xf>
    <xf numFmtId="49" fontId="0" fillId="0" borderId="0" xfId="0" applyNumberFormat="1">
      <alignment vertical="center"/>
    </xf>
    <xf numFmtId="49" fontId="0" fillId="0" borderId="13" xfId="0" applyNumberFormat="1" applyBorder="1">
      <alignment vertical="center"/>
    </xf>
    <xf numFmtId="49" fontId="0" fillId="0" borderId="4" xfId="0" applyNumberForma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5" fillId="5" borderId="4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F7C99"/>
      <color rgb="0070E3E1"/>
      <color rgb="00103C66"/>
      <color rgb="0000D860"/>
      <color rgb="00EB2E09"/>
      <color rgb="00EA9B1E"/>
      <color rgb="00EAD21D"/>
      <color rgb="00005A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37"/>
  <sheetViews>
    <sheetView showGridLines="0" tabSelected="1" zoomScale="70" zoomScaleNormal="70" topLeftCell="A102" workbookViewId="0">
      <selection activeCell="H107" sqref="H107"/>
    </sheetView>
  </sheetViews>
  <sheetFormatPr defaultColWidth="9" defaultRowHeight="14.4"/>
  <cols>
    <col min="2" max="2" width="18.2592592592593" customWidth="1"/>
    <col min="3" max="3" width="24.8333333333333" customWidth="1"/>
    <col min="4" max="4" width="28.8888888888889" customWidth="1"/>
    <col min="5" max="5" width="19.2314814814815" customWidth="1"/>
    <col min="6" max="6" width="28.9907407407407" customWidth="1"/>
    <col min="7" max="8" width="20.787037037037" customWidth="1"/>
    <col min="9" max="9" width="21.4722222222222" customWidth="1"/>
    <col min="10" max="10" width="22.2685185185185" customWidth="1"/>
    <col min="11" max="11" width="20.9907407407407" customWidth="1"/>
    <col min="12" max="12" width="21.9537037037037" customWidth="1"/>
    <col min="13" max="13" width="21.4722222222222" customWidth="1"/>
    <col min="14" max="14" width="35.5462962962963" customWidth="1"/>
    <col min="15" max="16" width="9.61111111111111"/>
    <col min="17" max="19" width="12.9259259259259"/>
    <col min="20" max="22" width="9.61111111111111"/>
  </cols>
  <sheetData>
    <row r="1" ht="37" customHeight="1" spans="2:13">
      <c r="B1" s="9" t="s">
        <v>0</v>
      </c>
      <c r="C1" s="10"/>
      <c r="D1" s="10"/>
      <c r="E1" s="10"/>
      <c r="F1" s="11"/>
      <c r="H1" s="12"/>
      <c r="I1" s="68"/>
      <c r="J1" s="69"/>
      <c r="K1" s="21" t="s">
        <v>1</v>
      </c>
      <c r="L1" s="70"/>
      <c r="M1" s="59"/>
    </row>
    <row r="3" spans="2:14">
      <c r="B3" s="13" t="s">
        <v>2</v>
      </c>
      <c r="C3" s="14" t="s">
        <v>3</v>
      </c>
      <c r="D3" s="15" t="s">
        <v>4</v>
      </c>
      <c r="E3" s="16"/>
      <c r="F3" s="17" t="s">
        <v>5</v>
      </c>
      <c r="G3" s="17"/>
      <c r="K3" s="21" t="s">
        <v>6</v>
      </c>
      <c r="L3" s="41"/>
      <c r="N3" t="s">
        <v>7</v>
      </c>
    </row>
    <row r="4" ht="64" customHeight="1" spans="2:14">
      <c r="B4" s="18"/>
      <c r="C4" s="19"/>
      <c r="D4" s="15" t="s">
        <v>8</v>
      </c>
      <c r="E4" s="20"/>
      <c r="F4" s="21" t="s">
        <v>9</v>
      </c>
      <c r="G4" s="15" t="s">
        <v>10</v>
      </c>
      <c r="K4" s="38" t="s">
        <v>11</v>
      </c>
      <c r="L4" s="25"/>
      <c r="M4" s="71"/>
      <c r="N4" s="49" t="s">
        <v>12</v>
      </c>
    </row>
    <row r="5" spans="2:14">
      <c r="B5" s="18"/>
      <c r="C5" s="22"/>
      <c r="D5" s="15" t="s">
        <v>13</v>
      </c>
      <c r="E5" s="20"/>
      <c r="F5" s="21" t="s">
        <v>14</v>
      </c>
      <c r="G5" s="23"/>
      <c r="L5" s="25"/>
      <c r="M5" s="71"/>
      <c r="N5" s="49"/>
    </row>
    <row r="6" spans="2:14">
      <c r="B6" s="24"/>
      <c r="C6" s="17" t="s">
        <v>15</v>
      </c>
      <c r="D6" s="23"/>
      <c r="E6" s="20"/>
      <c r="F6" s="21" t="s">
        <v>16</v>
      </c>
      <c r="G6" s="23"/>
      <c r="H6" s="25"/>
      <c r="I6" s="25"/>
      <c r="K6" s="4"/>
      <c r="L6" s="72"/>
      <c r="M6" s="71"/>
      <c r="N6" s="49"/>
    </row>
    <row r="7" spans="2:14">
      <c r="B7" s="26" t="s">
        <v>17</v>
      </c>
      <c r="C7" s="27" t="str">
        <f>D3</f>
        <v>手写-系统1</v>
      </c>
      <c r="D7" s="15" t="s">
        <v>18</v>
      </c>
      <c r="E7" s="20"/>
      <c r="F7" s="21" t="s">
        <v>19</v>
      </c>
      <c r="G7" s="23"/>
      <c r="K7" s="4"/>
      <c r="L7" s="72"/>
      <c r="M7" s="71"/>
      <c r="N7" s="49"/>
    </row>
    <row r="8" spans="2:14">
      <c r="B8" s="28"/>
      <c r="C8" s="27" t="str">
        <f>D4</f>
        <v>手写-系统2</v>
      </c>
      <c r="D8" s="15" t="s">
        <v>18</v>
      </c>
      <c r="E8" s="20"/>
      <c r="F8" s="21" t="s">
        <v>20</v>
      </c>
      <c r="G8" s="23"/>
      <c r="K8" s="4"/>
      <c r="L8" s="72"/>
      <c r="M8" s="71"/>
      <c r="N8" s="49"/>
    </row>
    <row r="9" spans="2:14">
      <c r="B9" s="28"/>
      <c r="C9" s="27" t="str">
        <f>D5</f>
        <v>手写-系统3</v>
      </c>
      <c r="D9" s="15" t="s">
        <v>18</v>
      </c>
      <c r="E9" s="20"/>
      <c r="F9" s="21" t="s">
        <v>21</v>
      </c>
      <c r="G9" s="29"/>
      <c r="K9" s="4"/>
      <c r="L9" s="72"/>
      <c r="M9" s="71"/>
      <c r="N9" s="49"/>
    </row>
    <row r="10" ht="15" customHeight="1" spans="2:14">
      <c r="B10" s="30"/>
      <c r="C10" s="31" t="s">
        <v>22</v>
      </c>
      <c r="D10" s="32"/>
      <c r="E10" s="33"/>
      <c r="F10" s="21" t="s">
        <v>23</v>
      </c>
      <c r="G10" s="25"/>
      <c r="I10" s="41"/>
      <c r="L10" s="73"/>
      <c r="M10" s="71"/>
      <c r="N10" s="49"/>
    </row>
    <row r="11" spans="2:5">
      <c r="B11" s="34"/>
      <c r="C11" s="31" t="s">
        <v>24</v>
      </c>
      <c r="D11" s="23"/>
      <c r="E11" s="33"/>
    </row>
    <row r="12" ht="16" customHeight="1" spans="2:7">
      <c r="B12" s="34"/>
      <c r="C12" s="31" t="s">
        <v>25</v>
      </c>
      <c r="D12" s="35"/>
      <c r="E12" s="33"/>
      <c r="F12" s="21" t="s">
        <v>26</v>
      </c>
      <c r="G12" s="23"/>
    </row>
    <row r="13" spans="2:7">
      <c r="B13" s="34"/>
      <c r="C13" s="31" t="s">
        <v>27</v>
      </c>
      <c r="D13" s="35"/>
      <c r="E13" s="33"/>
      <c r="F13" s="21" t="s">
        <v>28</v>
      </c>
      <c r="G13" s="23"/>
    </row>
    <row r="14" spans="2:7">
      <c r="B14" s="34"/>
      <c r="C14" s="31" t="s">
        <v>29</v>
      </c>
      <c r="D14" s="35"/>
      <c r="E14" s="33"/>
      <c r="F14" s="21" t="s">
        <v>30</v>
      </c>
      <c r="G14" s="25"/>
    </row>
    <row r="15" ht="18" customHeight="1" spans="2:7">
      <c r="B15" s="34"/>
      <c r="C15" s="31" t="s">
        <v>31</v>
      </c>
      <c r="D15" s="35"/>
      <c r="E15" s="33"/>
      <c r="G15" s="36"/>
    </row>
    <row r="16" spans="2:7">
      <c r="B16" s="34"/>
      <c r="C16" s="31" t="s">
        <v>32</v>
      </c>
      <c r="D16" s="35"/>
      <c r="E16" s="20"/>
      <c r="F16" s="21" t="s">
        <v>33</v>
      </c>
      <c r="G16" s="25"/>
    </row>
    <row r="17" spans="2:7">
      <c r="B17" s="34"/>
      <c r="C17" s="21" t="s">
        <v>34</v>
      </c>
      <c r="D17" s="35"/>
      <c r="E17" s="20"/>
      <c r="F17" s="21" t="s">
        <v>35</v>
      </c>
      <c r="G17" s="25"/>
    </row>
    <row r="18" ht="17" customHeight="1" spans="2:7">
      <c r="B18" s="37" t="s">
        <v>36</v>
      </c>
      <c r="C18" s="31"/>
      <c r="D18" s="35"/>
      <c r="E18" s="38"/>
      <c r="F18" s="21" t="s">
        <v>37</v>
      </c>
      <c r="G18" s="25"/>
    </row>
    <row r="19" spans="2:2">
      <c r="B19" s="39"/>
    </row>
    <row r="20" spans="2:7">
      <c r="B20" s="40" t="s">
        <v>38</v>
      </c>
      <c r="C20" s="21" t="s">
        <v>39</v>
      </c>
      <c r="D20" s="35"/>
      <c r="E20" s="41"/>
      <c r="F20" s="41"/>
      <c r="G20" s="41"/>
    </row>
    <row r="21" spans="2:7">
      <c r="B21" s="42" t="s">
        <v>40</v>
      </c>
      <c r="C21" s="21" t="s">
        <v>41</v>
      </c>
      <c r="D21" s="35"/>
      <c r="E21" s="41"/>
      <c r="F21" s="21" t="s">
        <v>42</v>
      </c>
      <c r="G21" s="15" t="s">
        <v>43</v>
      </c>
    </row>
    <row r="22" spans="2:7">
      <c r="B22" s="42"/>
      <c r="C22" s="21" t="s">
        <v>9</v>
      </c>
      <c r="D22" s="15" t="s">
        <v>10</v>
      </c>
      <c r="E22" s="41"/>
      <c r="F22" s="38" t="s">
        <v>44</v>
      </c>
      <c r="G22" s="25"/>
    </row>
    <row r="23" spans="2:7">
      <c r="B23" s="42"/>
      <c r="C23" s="21" t="s">
        <v>45</v>
      </c>
      <c r="D23" s="43"/>
      <c r="E23" s="41"/>
      <c r="F23" s="38" t="s">
        <v>29</v>
      </c>
      <c r="G23" s="25"/>
    </row>
    <row r="24" spans="2:7">
      <c r="B24" s="42"/>
      <c r="C24" s="21" t="s">
        <v>46</v>
      </c>
      <c r="D24" s="43"/>
      <c r="E24" s="41"/>
      <c r="F24" s="38" t="s">
        <v>31</v>
      </c>
      <c r="G24" s="25"/>
    </row>
    <row r="25" spans="2:7">
      <c r="B25" s="44"/>
      <c r="C25" s="21" t="s">
        <v>47</v>
      </c>
      <c r="D25" s="15" t="s">
        <v>48</v>
      </c>
      <c r="E25" s="41"/>
      <c r="F25" s="41"/>
      <c r="G25" s="45"/>
    </row>
    <row r="26" spans="2:4">
      <c r="B26" s="39"/>
      <c r="D26" s="46"/>
    </row>
    <row r="27" spans="2:5">
      <c r="B27" s="40" t="s">
        <v>49</v>
      </c>
      <c r="C27" s="21" t="s">
        <v>50</v>
      </c>
      <c r="D27" s="35"/>
      <c r="E27" t="s">
        <v>51</v>
      </c>
    </row>
    <row r="28" spans="2:4">
      <c r="B28" s="42" t="s">
        <v>52</v>
      </c>
      <c r="C28" s="21" t="s">
        <v>53</v>
      </c>
      <c r="D28" s="35"/>
    </row>
    <row r="29" spans="2:4">
      <c r="B29" s="42"/>
      <c r="C29" s="21" t="s">
        <v>54</v>
      </c>
      <c r="D29" s="35"/>
    </row>
    <row r="30" spans="2:4">
      <c r="B30" s="44"/>
      <c r="C30" s="21" t="s">
        <v>55</v>
      </c>
      <c r="D30" s="47" t="s">
        <v>56</v>
      </c>
    </row>
    <row r="31" spans="2:4">
      <c r="B31" s="39"/>
      <c r="D31" s="46"/>
    </row>
    <row r="32" spans="2:5">
      <c r="B32" s="40" t="s">
        <v>57</v>
      </c>
      <c r="C32" s="21" t="s">
        <v>58</v>
      </c>
      <c r="D32" s="48">
        <v>1</v>
      </c>
      <c r="E32" t="s">
        <v>59</v>
      </c>
    </row>
    <row r="33" spans="2:5">
      <c r="B33" s="42"/>
      <c r="C33" s="21" t="s">
        <v>60</v>
      </c>
      <c r="D33" s="48">
        <v>1</v>
      </c>
      <c r="E33" t="s">
        <v>59</v>
      </c>
    </row>
    <row r="34" spans="2:4">
      <c r="B34" s="42"/>
      <c r="C34" s="21" t="s">
        <v>61</v>
      </c>
      <c r="D34" s="43"/>
    </row>
    <row r="35" spans="2:4">
      <c r="B35" s="42"/>
      <c r="C35" s="21" t="s">
        <v>62</v>
      </c>
      <c r="D35" s="43"/>
    </row>
    <row r="36" spans="2:4">
      <c r="B36" s="42"/>
      <c r="C36" s="21" t="s">
        <v>63</v>
      </c>
      <c r="D36" s="43"/>
    </row>
    <row r="37" spans="2:4">
      <c r="B37" s="42"/>
      <c r="C37" s="21" t="s">
        <v>64</v>
      </c>
      <c r="D37" s="43"/>
    </row>
    <row r="38" spans="2:4">
      <c r="B38" s="42"/>
      <c r="C38" s="21" t="s">
        <v>65</v>
      </c>
      <c r="D38" s="43"/>
    </row>
    <row r="39" spans="2:4">
      <c r="B39" s="44"/>
      <c r="C39" s="21" t="s">
        <v>66</v>
      </c>
      <c r="D39" s="15" t="s">
        <v>67</v>
      </c>
    </row>
    <row r="40" spans="2:4">
      <c r="B40" s="39"/>
      <c r="D40" s="46"/>
    </row>
    <row r="41" spans="2:4">
      <c r="B41" s="39"/>
      <c r="D41" s="46"/>
    </row>
    <row r="42" spans="2:4">
      <c r="B42" s="39"/>
      <c r="D42" s="46"/>
    </row>
    <row r="43" spans="2:4">
      <c r="B43" s="39"/>
      <c r="D43" s="46"/>
    </row>
    <row r="44" spans="2:4">
      <c r="B44" s="39"/>
      <c r="D44" s="46"/>
    </row>
    <row r="45" spans="2:4">
      <c r="B45" s="39"/>
      <c r="D45" s="46"/>
    </row>
    <row r="46" spans="2:2">
      <c r="B46" s="39"/>
    </row>
    <row r="47" spans="2:2">
      <c r="B47" s="49"/>
    </row>
    <row r="48" spans="2:14">
      <c r="B48" s="50" t="s">
        <v>68</v>
      </c>
      <c r="C48" s="23" t="s">
        <v>69</v>
      </c>
      <c r="D48" s="23" t="s">
        <v>70</v>
      </c>
      <c r="E48" s="25" t="s">
        <v>71</v>
      </c>
      <c r="F48" s="23" t="s">
        <v>72</v>
      </c>
      <c r="G48" s="51"/>
      <c r="H48" s="51"/>
      <c r="I48" s="51"/>
      <c r="J48" s="51"/>
      <c r="K48" s="51"/>
      <c r="L48" s="51"/>
      <c r="M48" s="51"/>
      <c r="N48" s="74"/>
    </row>
    <row r="49" spans="2:14">
      <c r="B49" s="50"/>
      <c r="C49" s="23"/>
      <c r="D49" s="52"/>
      <c r="E49" s="52"/>
      <c r="F49" s="53"/>
      <c r="G49" s="41"/>
      <c r="H49" s="41"/>
      <c r="I49" s="41"/>
      <c r="J49" s="41"/>
      <c r="K49" s="41"/>
      <c r="L49" s="41"/>
      <c r="M49" s="41"/>
      <c r="N49" s="36"/>
    </row>
    <row r="50" spans="2:14">
      <c r="B50" s="54"/>
      <c r="H50" s="41"/>
      <c r="I50" s="41"/>
      <c r="J50" s="41"/>
      <c r="K50" s="41"/>
      <c r="L50" s="41"/>
      <c r="M50" s="41"/>
      <c r="N50" s="36"/>
    </row>
    <row r="51" spans="2:14">
      <c r="B51" s="50" t="s">
        <v>73</v>
      </c>
      <c r="C51" s="55"/>
      <c r="D51" s="23"/>
      <c r="E51" s="50" t="s">
        <v>74</v>
      </c>
      <c r="F51" s="23" t="s">
        <v>75</v>
      </c>
      <c r="G51" s="56"/>
      <c r="H51" s="20"/>
      <c r="I51" s="41"/>
      <c r="J51" s="41"/>
      <c r="K51" s="41"/>
      <c r="L51" s="41"/>
      <c r="M51" s="41"/>
      <c r="N51" s="36"/>
    </row>
    <row r="52" spans="2:14">
      <c r="B52" s="50"/>
      <c r="C52" s="57"/>
      <c r="D52" s="23"/>
      <c r="E52" s="50"/>
      <c r="F52" s="23" t="s">
        <v>76</v>
      </c>
      <c r="G52" s="56"/>
      <c r="H52" s="20"/>
      <c r="I52" s="41"/>
      <c r="J52" s="41"/>
      <c r="K52" s="41"/>
      <c r="L52" s="41"/>
      <c r="M52" s="41"/>
      <c r="N52" s="36"/>
    </row>
    <row r="53" spans="2:14">
      <c r="B53" s="50"/>
      <c r="C53" s="57"/>
      <c r="D53" s="23"/>
      <c r="E53" s="50"/>
      <c r="F53" s="23" t="s">
        <v>77</v>
      </c>
      <c r="G53" s="56"/>
      <c r="H53" s="20"/>
      <c r="I53" s="41"/>
      <c r="J53" s="41"/>
      <c r="K53" s="41"/>
      <c r="L53" s="41"/>
      <c r="M53" s="41"/>
      <c r="N53" s="36"/>
    </row>
    <row r="54" spans="2:14">
      <c r="B54" s="50"/>
      <c r="C54" s="57"/>
      <c r="D54" s="23"/>
      <c r="E54" s="50"/>
      <c r="F54" s="23" t="s">
        <v>78</v>
      </c>
      <c r="G54" s="56"/>
      <c r="H54" s="20"/>
      <c r="I54" s="41"/>
      <c r="J54" s="41"/>
      <c r="K54" s="41"/>
      <c r="L54" s="41"/>
      <c r="M54" s="41"/>
      <c r="N54" s="36"/>
    </row>
    <row r="55" spans="2:14">
      <c r="B55" s="50"/>
      <c r="C55" s="57"/>
      <c r="D55" s="23"/>
      <c r="E55" s="50"/>
      <c r="F55" s="23" t="s">
        <v>79</v>
      </c>
      <c r="G55" s="56"/>
      <c r="H55" s="20"/>
      <c r="I55" s="41"/>
      <c r="J55" s="41"/>
      <c r="K55" s="41"/>
      <c r="L55" s="41"/>
      <c r="M55" s="41"/>
      <c r="N55" s="36"/>
    </row>
    <row r="56" spans="2:14">
      <c r="B56" s="54"/>
      <c r="H56" s="41"/>
      <c r="I56" s="41"/>
      <c r="J56" s="41"/>
      <c r="K56" s="41"/>
      <c r="L56" s="41"/>
      <c r="M56" s="41"/>
      <c r="N56" s="36"/>
    </row>
    <row r="57" spans="2:14">
      <c r="B57" s="21" t="s">
        <v>80</v>
      </c>
      <c r="C57" s="41"/>
      <c r="D57" s="41"/>
      <c r="E57" s="41"/>
      <c r="F57" s="41"/>
      <c r="G57" s="41"/>
      <c r="H57" s="58"/>
      <c r="I57" s="58"/>
      <c r="J57" s="58"/>
      <c r="K57" s="58"/>
      <c r="L57" s="58"/>
      <c r="M57" s="58"/>
      <c r="N57" s="36"/>
    </row>
    <row r="58" spans="2:14">
      <c r="B58" s="21" t="s">
        <v>81</v>
      </c>
      <c r="C58" s="23"/>
      <c r="D58" s="59"/>
      <c r="E58" s="59"/>
      <c r="F58" s="59"/>
      <c r="G58" s="59"/>
      <c r="H58" s="60"/>
      <c r="I58" s="60"/>
      <c r="J58" s="60"/>
      <c r="K58" s="60"/>
      <c r="L58" s="60"/>
      <c r="M58" s="60"/>
      <c r="N58" s="59"/>
    </row>
    <row r="59" spans="2:14">
      <c r="B59" s="21" t="s">
        <v>82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</row>
    <row r="60" spans="2:2">
      <c r="B60" s="49"/>
    </row>
    <row r="61" ht="30" customHeight="1" spans="2:14">
      <c r="B61" s="23" t="s">
        <v>83</v>
      </c>
      <c r="C61" s="21" t="s">
        <v>84</v>
      </c>
      <c r="D61" s="61"/>
      <c r="E61" s="51"/>
      <c r="F61" s="62" t="s">
        <v>85</v>
      </c>
      <c r="G61" s="63" t="s">
        <v>86</v>
      </c>
      <c r="H61" s="64"/>
      <c r="I61" s="62" t="s">
        <v>87</v>
      </c>
      <c r="J61" s="63" t="s">
        <v>86</v>
      </c>
      <c r="K61" s="64"/>
      <c r="L61" s="62" t="s">
        <v>88</v>
      </c>
      <c r="M61" s="75" t="s">
        <v>89</v>
      </c>
      <c r="N61" s="74"/>
    </row>
    <row r="62" ht="27" customHeight="1" spans="2:14">
      <c r="B62" s="23" t="s">
        <v>90</v>
      </c>
      <c r="C62" s="21" t="s">
        <v>91</v>
      </c>
      <c r="D62" s="35"/>
      <c r="F62" s="65"/>
      <c r="G62" s="66"/>
      <c r="H62" s="67"/>
      <c r="I62" s="65"/>
      <c r="J62" s="66"/>
      <c r="K62" s="67"/>
      <c r="L62" s="76"/>
      <c r="M62" s="77"/>
      <c r="N62" s="36"/>
    </row>
    <row r="63" ht="27" customHeight="1" spans="2:14">
      <c r="B63" s="23"/>
      <c r="C63" s="21" t="s">
        <v>92</v>
      </c>
      <c r="D63" s="35"/>
      <c r="F63" s="65"/>
      <c r="G63" s="66"/>
      <c r="H63" s="67"/>
      <c r="I63" s="65"/>
      <c r="J63" s="66"/>
      <c r="K63" s="67"/>
      <c r="L63" s="76"/>
      <c r="M63" s="77"/>
      <c r="N63" s="36"/>
    </row>
    <row r="64" ht="27" customHeight="1" spans="2:14">
      <c r="B64" s="23"/>
      <c r="C64" s="21" t="s">
        <v>93</v>
      </c>
      <c r="D64" s="35"/>
      <c r="F64" s="65"/>
      <c r="G64" s="66"/>
      <c r="H64" s="67"/>
      <c r="I64" s="65"/>
      <c r="J64" s="66"/>
      <c r="K64" s="67"/>
      <c r="L64" s="76"/>
      <c r="M64" s="77"/>
      <c r="N64" s="36"/>
    </row>
    <row r="65" ht="27" customHeight="1" spans="2:14">
      <c r="B65" s="23" t="s">
        <v>94</v>
      </c>
      <c r="C65" s="21" t="s">
        <v>95</v>
      </c>
      <c r="D65" s="78" t="s">
        <v>96</v>
      </c>
      <c r="F65" s="65"/>
      <c r="G65" s="66"/>
      <c r="H65" s="67"/>
      <c r="I65" s="62"/>
      <c r="J65" s="63"/>
      <c r="K65" s="67"/>
      <c r="L65" s="76"/>
      <c r="M65" s="77"/>
      <c r="N65" s="36"/>
    </row>
    <row r="66" ht="27" customHeight="1" spans="2:14">
      <c r="B66" s="23"/>
      <c r="C66" s="21" t="s">
        <v>97</v>
      </c>
      <c r="D66" s="78" t="s">
        <v>98</v>
      </c>
      <c r="F66" s="65"/>
      <c r="G66" s="66"/>
      <c r="H66" s="67"/>
      <c r="I66" s="65"/>
      <c r="J66" s="66"/>
      <c r="K66" s="67"/>
      <c r="L66" s="76"/>
      <c r="M66" s="77"/>
      <c r="N66" s="36"/>
    </row>
    <row r="67" ht="27" customHeight="1" spans="2:14">
      <c r="B67" s="23" t="s">
        <v>99</v>
      </c>
      <c r="C67" s="21" t="s">
        <v>100</v>
      </c>
      <c r="D67" s="35"/>
      <c r="N67" s="36"/>
    </row>
    <row r="68" ht="27" customHeight="1" spans="2:14">
      <c r="B68" s="23"/>
      <c r="C68" s="21" t="s">
        <v>101</v>
      </c>
      <c r="D68" s="35"/>
      <c r="N68" s="36"/>
    </row>
    <row r="69" spans="2:14">
      <c r="B69" s="20"/>
      <c r="N69" s="36"/>
    </row>
    <row r="70" spans="2:14">
      <c r="B70" s="79" t="s">
        <v>102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101"/>
    </row>
    <row r="71" spans="2:14">
      <c r="B71" s="23"/>
      <c r="C71" s="23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</row>
    <row r="72" spans="2:14">
      <c r="B72" s="17" t="s">
        <v>103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</row>
    <row r="73" spans="2:14">
      <c r="B73" s="17" t="s">
        <v>104</v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</row>
    <row r="74" spans="2:14">
      <c r="B74" s="17" t="s">
        <v>105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</row>
    <row r="75" spans="2:14">
      <c r="B75" s="17" t="s">
        <v>106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spans="2:14">
      <c r="B76" s="17" t="s">
        <v>107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</row>
    <row r="77" spans="2:14">
      <c r="B77" s="17" t="s">
        <v>108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</row>
    <row r="78" spans="3:3">
      <c r="C78" s="82"/>
    </row>
    <row r="79" ht="24" customHeight="1" spans="2:14">
      <c r="B79" s="23" t="s">
        <v>109</v>
      </c>
      <c r="C79" s="23" t="s">
        <v>22</v>
      </c>
      <c r="D79" s="50" t="s">
        <v>110</v>
      </c>
      <c r="E79" s="23" t="s">
        <v>111</v>
      </c>
      <c r="F79" s="23" t="s">
        <v>112</v>
      </c>
      <c r="G79" s="51"/>
      <c r="H79" s="21" t="s">
        <v>113</v>
      </c>
      <c r="I79" s="23"/>
      <c r="J79" s="21" t="s">
        <v>114</v>
      </c>
      <c r="K79" s="23"/>
      <c r="L79" s="51"/>
      <c r="M79" s="21" t="s">
        <v>115</v>
      </c>
      <c r="N79" s="15" t="s">
        <v>116</v>
      </c>
    </row>
    <row r="80" spans="2:14">
      <c r="B80" s="23"/>
      <c r="C80" s="23"/>
      <c r="D80" s="23"/>
      <c r="E80" s="35"/>
      <c r="F80" s="53"/>
      <c r="H80" s="21" t="s">
        <v>117</v>
      </c>
      <c r="I80" s="35"/>
      <c r="J80" s="21" t="s">
        <v>118</v>
      </c>
      <c r="K80" s="23"/>
      <c r="N80" s="36"/>
    </row>
    <row r="81" spans="2:14">
      <c r="B81" s="83"/>
      <c r="C81" s="41"/>
      <c r="D81" s="41"/>
      <c r="E81" s="41"/>
      <c r="F81" s="41"/>
      <c r="H81" s="21" t="s">
        <v>119</v>
      </c>
      <c r="I81" s="35"/>
      <c r="J81" s="21" t="s">
        <v>120</v>
      </c>
      <c r="K81" s="23"/>
      <c r="N81" s="36"/>
    </row>
    <row r="82" spans="2:14">
      <c r="B82" s="23" t="s">
        <v>121</v>
      </c>
      <c r="C82" s="84"/>
      <c r="D82" s="23" t="s">
        <v>122</v>
      </c>
      <c r="E82" s="23" t="s">
        <v>123</v>
      </c>
      <c r="F82" s="23" t="s">
        <v>124</v>
      </c>
      <c r="H82" s="21" t="s">
        <v>125</v>
      </c>
      <c r="I82" s="35"/>
      <c r="J82" s="21" t="s">
        <v>29</v>
      </c>
      <c r="K82" s="23"/>
      <c r="N82" s="36"/>
    </row>
    <row r="83" spans="2:14">
      <c r="B83" s="23"/>
      <c r="C83" s="21" t="s">
        <v>126</v>
      </c>
      <c r="D83" s="23"/>
      <c r="E83" s="23"/>
      <c r="F83" s="53"/>
      <c r="H83" s="41"/>
      <c r="I83" s="74"/>
      <c r="J83" s="21" t="s">
        <v>31</v>
      </c>
      <c r="K83" s="23"/>
      <c r="N83" s="36"/>
    </row>
    <row r="84" spans="2:14">
      <c r="B84" s="23"/>
      <c r="C84" s="21" t="s">
        <v>127</v>
      </c>
      <c r="D84" s="23"/>
      <c r="E84" s="23"/>
      <c r="F84" s="53"/>
      <c r="H84" s="85"/>
      <c r="I84" s="85"/>
      <c r="N84" s="36"/>
    </row>
    <row r="85" spans="2:14">
      <c r="B85" s="23"/>
      <c r="C85" s="21" t="s">
        <v>128</v>
      </c>
      <c r="D85" s="23"/>
      <c r="E85" s="23"/>
      <c r="F85" s="53"/>
      <c r="N85" s="36"/>
    </row>
    <row r="86" spans="2:14">
      <c r="B86" s="23" t="s">
        <v>129</v>
      </c>
      <c r="C86" s="23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</row>
    <row r="87" spans="2:14">
      <c r="B87" s="23" t="s">
        <v>130</v>
      </c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</row>
    <row r="88" spans="2:14">
      <c r="B88" s="23" t="s">
        <v>131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</row>
    <row r="90" spans="2:8">
      <c r="B90" s="16" t="s">
        <v>132</v>
      </c>
      <c r="C90" s="21" t="s">
        <v>133</v>
      </c>
      <c r="D90" s="35"/>
      <c r="E90" s="26" t="s">
        <v>134</v>
      </c>
      <c r="F90" s="21"/>
      <c r="G90" s="21" t="s">
        <v>135</v>
      </c>
      <c r="H90" s="23" t="s">
        <v>136</v>
      </c>
    </row>
    <row r="91" spans="2:8">
      <c r="B91" s="14" t="s">
        <v>137</v>
      </c>
      <c r="C91" s="21" t="s">
        <v>138</v>
      </c>
      <c r="D91" s="35"/>
      <c r="E91" s="28"/>
      <c r="F91" s="86"/>
      <c r="G91" s="81"/>
      <c r="H91" s="87"/>
    </row>
    <row r="92" spans="2:8">
      <c r="B92" s="88"/>
      <c r="C92" s="21" t="s">
        <v>139</v>
      </c>
      <c r="D92" s="48">
        <v>1</v>
      </c>
      <c r="E92" s="28"/>
      <c r="F92" s="86"/>
      <c r="G92" s="81"/>
      <c r="H92" s="87"/>
    </row>
    <row r="93" spans="2:8">
      <c r="B93" s="20"/>
      <c r="C93" s="41"/>
      <c r="D93" s="89"/>
      <c r="E93" s="28"/>
      <c r="F93" s="86"/>
      <c r="G93" s="81"/>
      <c r="H93" s="87"/>
    </row>
    <row r="94" spans="2:8">
      <c r="B94" s="20"/>
      <c r="C94" s="41"/>
      <c r="D94" s="89"/>
      <c r="E94" s="28"/>
      <c r="F94" s="86"/>
      <c r="G94" s="81"/>
      <c r="H94" s="87"/>
    </row>
    <row r="95" spans="2:8">
      <c r="B95" s="20"/>
      <c r="C95" s="41"/>
      <c r="D95" s="89"/>
      <c r="E95" s="28"/>
      <c r="F95" s="86"/>
      <c r="G95" s="81"/>
      <c r="H95" s="87"/>
    </row>
    <row r="96" spans="2:8">
      <c r="B96" s="20"/>
      <c r="C96" s="41"/>
      <c r="D96" s="41"/>
      <c r="E96" s="28"/>
      <c r="F96" s="86"/>
      <c r="G96" s="81"/>
      <c r="H96" s="87"/>
    </row>
    <row r="97" spans="2:8">
      <c r="B97" s="90"/>
      <c r="C97" s="91"/>
      <c r="D97" s="58"/>
      <c r="E97" s="92"/>
      <c r="F97" s="86"/>
      <c r="G97" s="81"/>
      <c r="H97" s="87"/>
    </row>
    <row r="99" spans="2:8">
      <c r="B99" s="38" t="s">
        <v>140</v>
      </c>
      <c r="C99" s="21" t="s">
        <v>141</v>
      </c>
      <c r="D99" s="25"/>
      <c r="F99" s="69" t="s">
        <v>142</v>
      </c>
      <c r="G99" s="25"/>
      <c r="H99" s="41"/>
    </row>
    <row r="100" spans="2:8">
      <c r="B100" s="20"/>
      <c r="C100" s="21" t="s">
        <v>143</v>
      </c>
      <c r="D100" s="25"/>
      <c r="F100" s="93" t="s">
        <v>144</v>
      </c>
      <c r="G100" s="25"/>
      <c r="H100" s="41"/>
    </row>
    <row r="101" spans="2:8">
      <c r="B101" s="20"/>
      <c r="C101" s="21" t="s">
        <v>145</v>
      </c>
      <c r="D101" s="25"/>
      <c r="F101" s="93" t="s">
        <v>146</v>
      </c>
      <c r="G101" s="25"/>
      <c r="H101" s="41"/>
    </row>
    <row r="102" spans="2:8">
      <c r="B102" s="20"/>
      <c r="C102" s="21" t="s">
        <v>147</v>
      </c>
      <c r="D102" s="25"/>
      <c r="F102" s="93" t="s">
        <v>148</v>
      </c>
      <c r="G102" s="25"/>
      <c r="H102" s="41"/>
    </row>
    <row r="103" spans="2:8">
      <c r="B103" s="20"/>
      <c r="C103" s="21" t="s">
        <v>149</v>
      </c>
      <c r="D103" s="25"/>
      <c r="F103" s="93" t="s">
        <v>150</v>
      </c>
      <c r="G103" s="25"/>
      <c r="H103" s="41"/>
    </row>
    <row r="104" spans="2:8">
      <c r="B104" s="20"/>
      <c r="C104" s="21" t="s">
        <v>151</v>
      </c>
      <c r="D104" s="25"/>
      <c r="F104" s="93" t="s">
        <v>152</v>
      </c>
      <c r="G104" s="25"/>
      <c r="H104" s="41"/>
    </row>
    <row r="105" spans="2:8">
      <c r="B105" s="20"/>
      <c r="C105" s="21" t="s">
        <v>153</v>
      </c>
      <c r="D105" s="25" t="s">
        <v>154</v>
      </c>
      <c r="F105" s="93" t="s">
        <v>155</v>
      </c>
      <c r="G105" s="25"/>
      <c r="H105" s="85"/>
    </row>
    <row r="106" spans="2:8">
      <c r="B106" s="90"/>
      <c r="C106" s="21" t="s">
        <v>149</v>
      </c>
      <c r="D106" s="25" t="s">
        <v>154</v>
      </c>
      <c r="E106" s="58"/>
      <c r="F106" s="93" t="s">
        <v>156</v>
      </c>
      <c r="G106" s="25"/>
      <c r="H106" s="41"/>
    </row>
    <row r="107" spans="2:8">
      <c r="B107" s="90"/>
      <c r="C107" s="58"/>
      <c r="D107" s="94"/>
      <c r="E107" s="58"/>
      <c r="F107" s="93" t="s">
        <v>157</v>
      </c>
      <c r="G107" s="25"/>
      <c r="H107" s="41"/>
    </row>
    <row r="108" spans="6:6">
      <c r="F108" s="95"/>
    </row>
    <row r="109" spans="2:8">
      <c r="B109" s="16" t="s">
        <v>158</v>
      </c>
      <c r="C109" s="51"/>
      <c r="D109" s="51"/>
      <c r="E109" s="51"/>
      <c r="F109" s="96"/>
      <c r="G109" s="25"/>
      <c r="H109" s="41"/>
    </row>
    <row r="110" spans="2:8">
      <c r="B110" s="30"/>
      <c r="C110" s="97" t="s">
        <v>159</v>
      </c>
      <c r="D110" s="25"/>
      <c r="F110" s="38" t="s">
        <v>160</v>
      </c>
      <c r="G110" s="25"/>
      <c r="H110" s="85"/>
    </row>
    <row r="111" spans="2:8">
      <c r="B111" s="34"/>
      <c r="C111" s="97" t="s">
        <v>161</v>
      </c>
      <c r="D111" s="25"/>
      <c r="F111" s="98" t="s">
        <v>162</v>
      </c>
      <c r="G111" s="25"/>
      <c r="H111" s="41"/>
    </row>
    <row r="112" spans="2:8">
      <c r="B112" s="34"/>
      <c r="C112" s="97" t="s">
        <v>24</v>
      </c>
      <c r="D112" s="25"/>
      <c r="F112" s="98" t="s">
        <v>163</v>
      </c>
      <c r="G112" s="25"/>
      <c r="H112" s="41"/>
    </row>
    <row r="113" spans="2:8">
      <c r="B113" s="34"/>
      <c r="C113" s="97" t="s">
        <v>164</v>
      </c>
      <c r="D113" s="25"/>
      <c r="F113" s="98" t="s">
        <v>165</v>
      </c>
      <c r="G113" s="25"/>
      <c r="H113" s="41"/>
    </row>
    <row r="114" spans="2:8">
      <c r="B114" s="34"/>
      <c r="C114" s="99" t="s">
        <v>166</v>
      </c>
      <c r="D114" s="25"/>
      <c r="F114" s="98" t="s">
        <v>167</v>
      </c>
      <c r="G114" s="25"/>
      <c r="H114" s="41"/>
    </row>
    <row r="115" spans="2:8">
      <c r="B115" s="34"/>
      <c r="C115" s="99" t="s">
        <v>160</v>
      </c>
      <c r="D115" s="25"/>
      <c r="F115" s="98" t="s">
        <v>168</v>
      </c>
      <c r="G115" s="25"/>
      <c r="H115" s="41"/>
    </row>
    <row r="116" spans="2:8">
      <c r="B116" s="34"/>
      <c r="C116" s="99" t="s">
        <v>29</v>
      </c>
      <c r="D116" s="25"/>
      <c r="F116" s="98" t="s">
        <v>169</v>
      </c>
      <c r="G116" s="25"/>
      <c r="H116" s="41"/>
    </row>
    <row r="117" spans="2:8">
      <c r="B117" s="34"/>
      <c r="C117" s="99" t="s">
        <v>31</v>
      </c>
      <c r="D117" s="25"/>
      <c r="F117" s="98" t="s">
        <v>170</v>
      </c>
      <c r="G117" s="25"/>
      <c r="H117" s="41"/>
    </row>
    <row r="118" spans="2:8">
      <c r="B118" s="34"/>
      <c r="C118" s="99" t="s">
        <v>171</v>
      </c>
      <c r="D118" s="25"/>
      <c r="F118" s="98" t="s">
        <v>172</v>
      </c>
      <c r="G118" s="25"/>
      <c r="H118" s="85"/>
    </row>
    <row r="119" spans="2:8">
      <c r="B119" s="100"/>
      <c r="C119" s="58"/>
      <c r="D119" s="58"/>
      <c r="E119" s="58"/>
      <c r="F119" s="98" t="s">
        <v>173</v>
      </c>
      <c r="G119" s="25"/>
      <c r="H119" s="41"/>
    </row>
    <row r="121" spans="2:4">
      <c r="B121" s="30" t="s">
        <v>174</v>
      </c>
      <c r="C121" s="99" t="s">
        <v>175</v>
      </c>
      <c r="D121" s="23"/>
    </row>
    <row r="122" spans="2:9">
      <c r="B122" s="34"/>
      <c r="C122" s="99" t="s">
        <v>176</v>
      </c>
      <c r="D122" s="23"/>
      <c r="F122" s="99" t="s">
        <v>159</v>
      </c>
      <c r="G122" s="25"/>
      <c r="H122" s="99" t="s">
        <v>177</v>
      </c>
      <c r="I122" s="102"/>
    </row>
    <row r="123" spans="2:9">
      <c r="B123" s="34"/>
      <c r="C123" s="99" t="s">
        <v>178</v>
      </c>
      <c r="D123" s="23"/>
      <c r="F123" s="99" t="s">
        <v>160</v>
      </c>
      <c r="G123" s="25"/>
      <c r="H123" s="99" t="s">
        <v>179</v>
      </c>
      <c r="I123" s="102"/>
    </row>
    <row r="124" spans="2:9">
      <c r="B124" s="34"/>
      <c r="C124" s="99" t="s">
        <v>180</v>
      </c>
      <c r="D124" s="23"/>
      <c r="F124" s="99" t="s">
        <v>31</v>
      </c>
      <c r="G124" s="25"/>
      <c r="H124" s="99" t="s">
        <v>181</v>
      </c>
      <c r="I124" s="102"/>
    </row>
    <row r="125" spans="2:9">
      <c r="B125" s="34"/>
      <c r="C125" s="99" t="s">
        <v>182</v>
      </c>
      <c r="D125" s="23"/>
      <c r="F125" s="99" t="s">
        <v>183</v>
      </c>
      <c r="G125" s="25"/>
      <c r="H125" s="99" t="s">
        <v>184</v>
      </c>
      <c r="I125" s="102"/>
    </row>
    <row r="126" spans="2:9">
      <c r="B126" s="100"/>
      <c r="C126" s="99" t="s">
        <v>185</v>
      </c>
      <c r="D126" s="23"/>
      <c r="E126" s="58"/>
      <c r="F126" s="99" t="s">
        <v>186</v>
      </c>
      <c r="G126" s="25"/>
      <c r="H126" s="99" t="s">
        <v>187</v>
      </c>
      <c r="I126" s="102"/>
    </row>
    <row r="128" spans="2:4">
      <c r="B128" s="40" t="s">
        <v>188</v>
      </c>
      <c r="C128" s="21" t="s">
        <v>189</v>
      </c>
      <c r="D128" s="35"/>
    </row>
    <row r="129" spans="2:4">
      <c r="B129" s="42" t="s">
        <v>190</v>
      </c>
      <c r="C129" s="21" t="s">
        <v>191</v>
      </c>
      <c r="D129" s="35"/>
    </row>
    <row r="130" spans="2:4">
      <c r="B130" s="44"/>
      <c r="C130" s="21" t="s">
        <v>192</v>
      </c>
      <c r="D130" s="35"/>
    </row>
    <row r="132" spans="2:9">
      <c r="B132" s="21" t="s">
        <v>193</v>
      </c>
      <c r="C132" s="102"/>
      <c r="D132" s="25"/>
      <c r="E132" s="25"/>
      <c r="F132" s="102"/>
      <c r="G132" s="25"/>
      <c r="H132" s="25"/>
      <c r="I132" s="25"/>
    </row>
    <row r="133" spans="2:9">
      <c r="B133" s="21" t="s">
        <v>194</v>
      </c>
      <c r="C133" s="25"/>
      <c r="D133" s="25"/>
      <c r="E133" s="25"/>
      <c r="F133" s="25"/>
      <c r="G133" s="25"/>
      <c r="H133" s="25"/>
      <c r="I133" s="25"/>
    </row>
    <row r="134" spans="2:9">
      <c r="B134" s="21" t="s">
        <v>195</v>
      </c>
      <c r="C134" s="103"/>
      <c r="D134" s="103"/>
      <c r="E134" s="103"/>
      <c r="F134" s="103"/>
      <c r="G134" s="25"/>
      <c r="H134" s="25"/>
      <c r="I134" s="25"/>
    </row>
    <row r="135" spans="2:9">
      <c r="B135" s="21" t="s">
        <v>196</v>
      </c>
      <c r="C135" s="25"/>
      <c r="D135" s="25"/>
      <c r="E135" s="25"/>
      <c r="F135" s="25"/>
      <c r="G135" s="25"/>
      <c r="H135" s="25"/>
      <c r="I135" s="25"/>
    </row>
    <row r="136" spans="2:9">
      <c r="B136" s="21" t="s">
        <v>197</v>
      </c>
      <c r="C136" s="25"/>
      <c r="D136" s="25"/>
      <c r="E136" s="25"/>
      <c r="F136" s="25"/>
      <c r="G136" s="25"/>
      <c r="H136" s="25"/>
      <c r="I136" s="25"/>
    </row>
    <row r="137" spans="2:9">
      <c r="B137" s="21" t="s">
        <v>198</v>
      </c>
      <c r="C137" s="103"/>
      <c r="D137" s="103"/>
      <c r="E137" s="25"/>
      <c r="F137" s="25"/>
      <c r="G137" s="25"/>
      <c r="H137" s="25"/>
      <c r="I137" s="25"/>
    </row>
  </sheetData>
  <mergeCells count="17">
    <mergeCell ref="B1:F1"/>
    <mergeCell ref="F3:G3"/>
    <mergeCell ref="B70:N70"/>
    <mergeCell ref="B3:B6"/>
    <mergeCell ref="B7:B9"/>
    <mergeCell ref="B48:B49"/>
    <mergeCell ref="B51:B55"/>
    <mergeCell ref="B62:B64"/>
    <mergeCell ref="B65:B66"/>
    <mergeCell ref="B67:B68"/>
    <mergeCell ref="B79:B81"/>
    <mergeCell ref="B82:B85"/>
    <mergeCell ref="B91:B92"/>
    <mergeCell ref="C3:C5"/>
    <mergeCell ref="E51:E55"/>
    <mergeCell ref="E90:E97"/>
    <mergeCell ref="N4:N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4" sqref="A1:G14"/>
    </sheetView>
  </sheetViews>
  <sheetFormatPr defaultColWidth="8.89814814814815" defaultRowHeight="14.4"/>
  <cols>
    <col min="2" max="2" width="19.5555555555556" customWidth="1"/>
    <col min="3" max="3" width="13" style="8" customWidth="1"/>
    <col min="5" max="5" width="17.1481481481481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A1:W9"/>
    </sheetView>
  </sheetViews>
  <sheetFormatPr defaultColWidth="9" defaultRowHeight="30" customHeight="1"/>
  <cols>
    <col min="2" max="2" width="14.8981481481481" customWidth="1"/>
    <col min="4" max="4" width="9.66666666666667" customWidth="1"/>
    <col min="7" max="7" width="12.5" customWidth="1"/>
    <col min="8" max="8" width="17.7777777777778" customWidth="1"/>
    <col min="9" max="9" width="15.8611111111111" customWidth="1"/>
    <col min="10" max="10" width="30.9351851851852" style="5" customWidth="1"/>
    <col min="11" max="11" width="22.5833333333333" style="5" customWidth="1"/>
    <col min="14" max="14" width="32.212962962963" style="5" customWidth="1"/>
    <col min="15" max="15" width="13.7777777777778" customWidth="1"/>
    <col min="16" max="16" width="11.8981481481481" customWidth="1"/>
    <col min="19" max="19" width="16.537037037037" style="7" customWidth="1"/>
    <col min="20" max="20" width="17.5555555555556" style="7" customWidth="1"/>
    <col min="21" max="21" width="20.5" customWidth="1"/>
    <col min="22" max="22" width="26.4444444444444" customWidth="1"/>
  </cols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A1:W9"/>
    </sheetView>
  </sheetViews>
  <sheetFormatPr defaultColWidth="9" defaultRowHeight="30" customHeight="1"/>
  <cols>
    <col min="2" max="2" width="14.8981481481481" customWidth="1"/>
    <col min="4" max="4" width="9.66666666666667" customWidth="1"/>
    <col min="7" max="7" width="12.5" customWidth="1"/>
    <col min="8" max="8" width="17.7777777777778" customWidth="1"/>
    <col min="9" max="9" width="15.8611111111111" customWidth="1"/>
    <col min="10" max="10" width="30.9351851851852" style="5" customWidth="1"/>
    <col min="11" max="11" width="22.5833333333333" style="5" customWidth="1"/>
    <col min="14" max="14" width="32.212962962963" style="5" customWidth="1"/>
    <col min="15" max="15" width="13.7777777777778" customWidth="1"/>
    <col min="16" max="16" width="11.8981481481481" customWidth="1"/>
    <col min="19" max="19" width="16.537037037037" style="7" customWidth="1"/>
    <col min="20" max="20" width="17.5555555555556" style="7" customWidth="1"/>
    <col min="21" max="21" width="20.5" customWidth="1"/>
    <col min="22" max="22" width="26.4444444444444" customWidth="1"/>
  </cols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9" sqref="A1:AJ10"/>
    </sheetView>
  </sheetViews>
  <sheetFormatPr defaultColWidth="8.89814814814815" defaultRowHeight="14.4"/>
  <cols>
    <col min="2" max="2" width="22.9166666666667" customWidth="1"/>
    <col min="3" max="3" width="14.9074074074074" customWidth="1"/>
    <col min="5" max="5" width="8.89814814814815" customWidth="1"/>
    <col min="6" max="6" width="8.89814814814815" style="5" customWidth="1"/>
    <col min="7" max="12" width="8.89814814814815" customWidth="1"/>
    <col min="16" max="20" width="8.89814814814815" customWidth="1"/>
    <col min="22" max="24" width="8.89814814814815" customWidth="1"/>
    <col min="26" max="26" width="16.4444444444444" customWidth="1"/>
    <col min="27" max="27" width="8.89814814814815" customWidth="1"/>
    <col min="29" max="32" width="8.89814814814815" customWidth="1"/>
    <col min="33" max="33" width="8.89814814814815" style="6" customWidth="1"/>
    <col min="34" max="34" width="19.712962962963" customWidth="1"/>
  </cols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6" sqref="$A1:$XFD1048576"/>
    </sheetView>
  </sheetViews>
  <sheetFormatPr defaultColWidth="8.89814814814815" defaultRowHeight="14.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0" zoomScaleNormal="110" topLeftCell="R1" workbookViewId="0">
      <selection activeCell="X16" sqref="A1:BD20"/>
    </sheetView>
  </sheetViews>
  <sheetFormatPr defaultColWidth="9" defaultRowHeight="14.4"/>
  <cols>
    <col min="1" max="1" width="11.75" customWidth="1"/>
    <col min="2" max="2" width="16.2314814814815" style="1" customWidth="1"/>
    <col min="3" max="3" width="21.6388888888889" customWidth="1"/>
    <col min="4" max="4" width="52.4074074074074" customWidth="1"/>
    <col min="5" max="5" width="18.5833333333333" customWidth="1"/>
    <col min="6" max="6" width="12.6666666666667" customWidth="1"/>
    <col min="7" max="7" width="13.8981481481481" customWidth="1"/>
    <col min="8" max="9" width="9" customWidth="1"/>
    <col min="10" max="10" width="20.2222222222222" customWidth="1"/>
    <col min="11" max="11" width="11.4444444444444" customWidth="1"/>
    <col min="12" max="12" width="9" customWidth="1"/>
    <col min="13" max="13" width="11.1018518518519" customWidth="1"/>
    <col min="14" max="15" width="9" customWidth="1"/>
    <col min="16" max="16" width="26.7592592592593" customWidth="1"/>
    <col min="17" max="24" width="9" customWidth="1"/>
    <col min="25" max="26" width="10.7777777777778" style="2" customWidth="1"/>
    <col min="27" max="27" width="9" customWidth="1"/>
    <col min="28" max="28" width="11.7777777777778" customWidth="1"/>
    <col min="29" max="29" width="16.0740740740741"/>
    <col min="30" max="30" width="17.5555555555556" style="3" customWidth="1"/>
    <col min="31" max="32" width="16.4444444444444" style="3" customWidth="1"/>
    <col min="33" max="33" width="16.2314814814815" style="3" customWidth="1"/>
    <col min="34" max="34" width="16.4444444444444" style="3" customWidth="1"/>
    <col min="35" max="36" width="10.7777777777778" customWidth="1"/>
    <col min="37" max="41" width="9" customWidth="1"/>
    <col min="42" max="42" width="32.6944444444444" customWidth="1"/>
    <col min="43" max="43" width="23.0185185185185" customWidth="1"/>
    <col min="44" max="44" width="9" customWidth="1"/>
    <col min="45" max="45" width="11.8981481481481" customWidth="1"/>
    <col min="46" max="46" width="13.4444444444444" customWidth="1"/>
    <col min="47" max="47" width="9" customWidth="1"/>
    <col min="48" max="48" width="11.8425925925926" customWidth="1"/>
    <col min="49" max="49" width="10.7777777777778" customWidth="1"/>
    <col min="50" max="50" width="18.6666666666667"/>
    <col min="52" max="56" width="14.0740740740741" style="4"/>
  </cols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7" sqref="F27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7" sqref="F27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数据统计</vt:lpstr>
      <vt:lpstr>暴露面</vt:lpstr>
      <vt:lpstr>内网漏洞表</vt:lpstr>
      <vt:lpstr>互联网漏洞表</vt:lpstr>
      <vt:lpstr>资产表</vt:lpstr>
      <vt:lpstr>告警表</vt:lpstr>
      <vt:lpstr>事件表</vt:lpstr>
      <vt:lpstr>内网弱密码表</vt:lpstr>
      <vt:lpstr>互联网弱密码表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User</cp:lastModifiedBy>
  <dcterms:created xsi:type="dcterms:W3CDTF">2023-05-19T15:58:00Z</dcterms:created>
  <dcterms:modified xsi:type="dcterms:W3CDTF">2026-10-29T09:29:33Z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BAE9F7C6A69F086D2E409368F7114755_43</vt:lpwstr>
  </property>
  <property fmtid="{D5CDD505-2E9C-101B-9397-08002B2CF9AE}" pid="3" name="KSOProductBuildVer">
    <vt:lpwstr>2052-12.1.0.16729</vt:lpwstr>
  </property>
  <property fmtid="{D5CDD505-2E9C-101B-9397-08002B2CF9AE}" pid="4" name="KSOTemplateUUID">
    <vt:lpwstr>v1.0_mb_VL70KuMiRIZrijaVhgeoWQ==</vt:lpwstr>
  </property>
  <property fmtid="{D5CDD505-2E9C-101B-9397-08002B2CF9AE}" pid="5" name="CalculationRule">
    <vt:i4>0</vt:i4>
  </property>
</Properties>
</file>