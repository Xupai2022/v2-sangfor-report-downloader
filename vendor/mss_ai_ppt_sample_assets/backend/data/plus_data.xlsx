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188" windowHeight="9180" firstSheet="1" activeTab="1"/>
  </bookViews>
  <sheets>
    <sheet name="可视化看板" sheetId="1" r:id="rId1"/>
    <sheet name="数据统计" sheetId="2" r:id="rId2"/>
    <sheet name="运营机制" sheetId="12" r:id="rId3"/>
    <sheet name="暴露面" sheetId="13" r:id="rId4"/>
    <sheet name="资产漏洞表" sheetId="5" r:id="rId5"/>
    <sheet name="资产表" sheetId="10" r:id="rId6"/>
    <sheet name="告警表" sheetId="14" r:id="rId7"/>
    <sheet name="事件表" sheetId="6" r:id="rId8"/>
  </sheets>
  <definedNames>
    <definedName name="_xlnm._FilterDatabase" localSheetId="3" hidden="1">暴露面!$A$1:$F$13</definedName>
    <definedName name="_xlnm._FilterDatabase" localSheetId="4" hidden="1">资产漏洞表!$A$1:$W$9</definedName>
    <definedName name="_xlnm._FilterDatabase" localSheetId="5" hidden="1">资产表!$A$1:$AJ$10</definedName>
    <definedName name="_xlnm._FilterDatabase" localSheetId="6" hidden="1">告警表!$A$1:$AU$14</definedName>
    <definedName name="_xlnm._FilterDatabase" localSheetId="7" hidden="1">事件表!$A$2:$BD$20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SXF-Admin</author>
    <author>sangfor</author>
  </authors>
  <commentList>
    <comment ref="C1" authorId="0">
      <text>
        <r>
          <rPr>
            <sz val="10"/>
            <rFont val="宋体"/>
            <charset val="134"/>
          </rPr>
          <t xml:space="preserve">支持输入单个IP/URL、IP范围（格式：192.168.1.1-192.168.1.100）、IP网段（格式：192.168.1.0/24 或 192.168.1.0/255.255.255.0），若录入IP范围或网段，所有必填信息项将会复用到所有录入资产中
</t>
        </r>
      </text>
    </comment>
    <comment ref="D1" authorId="0">
      <text>
        <r>
          <rPr>
            <sz val="10"/>
            <rFont val="宋体"/>
            <charset val="134"/>
          </rPr>
          <t>核心、重要、一般三个级别</t>
        </r>
      </text>
    </comment>
    <comment ref="E1" authorId="0">
      <text>
        <r>
          <rPr>
            <sz val="10"/>
            <rFont val="宋体"/>
            <charset val="134"/>
          </rPr>
          <t>服务内(7*24H)、服务内(5*8H)、服务外三类</t>
        </r>
      </text>
    </comment>
    <comment ref="F1" authorId="0">
      <text>
        <r>
          <rPr>
            <sz val="10"/>
            <rFont val="宋体"/>
            <charset val="134"/>
          </rPr>
          <t>终端、服务器、网络设备、安全设备、物联网设备、防火墙、VPN、WAF、IDPS、蜜罐、扫描器、DNS、代理服务器、堡垒机十四类</t>
        </r>
      </text>
    </comment>
    <comment ref="G1" authorId="1">
      <text>
        <r>
          <rPr>
            <sz val="10"/>
            <rFont val="宋体"/>
            <charset val="134"/>
          </rPr>
          <t>业务责任人和业务责任人邮箱填写状态需要保持一致（都填写或都不填写）</t>
        </r>
      </text>
    </comment>
    <comment ref="H1" authorId="0">
      <text>
        <r>
          <rPr>
            <sz val="10"/>
            <rFont val="宋体"/>
            <charset val="134"/>
          </rPr>
          <t>业务责任人和业务责任人邮箱填写状态需要保持一致（都填写或都不填写）</t>
        </r>
      </text>
    </comment>
    <comment ref="K1" authorId="0">
      <text>
        <r>
          <rPr>
            <sz val="10"/>
            <rFont val="宋体"/>
            <charset val="134"/>
          </rPr>
          <t>在线、离线两种</t>
        </r>
      </text>
    </comment>
    <comment ref="T1" authorId="0">
      <text>
        <r>
          <rPr>
            <sz val="10"/>
            <rFont val="宋体"/>
            <charset val="134"/>
          </rPr>
          <t>仅支持填写“是/否”；手动填写之后，平台将以手动填写的信息为准，不再主动发起请求并覆盖防护信息</t>
        </r>
      </text>
    </comment>
    <comment ref="U1" authorId="0">
      <text>
        <r>
          <rPr>
            <sz val="10"/>
            <rFont val="宋体"/>
            <charset val="134"/>
          </rPr>
          <t>不需要填写，平台将自动根据资产EDR agent状态校正状态信息</t>
        </r>
      </text>
    </comment>
    <comment ref="X1" authorId="0">
      <text>
        <r>
          <rPr>
            <sz val="10"/>
            <rFont val="宋体"/>
            <charset val="134"/>
          </rPr>
          <t>只能由字母，数字，符号组成，域名示例:example.com；url示例:http://localhost.com:80</t>
        </r>
      </text>
    </comment>
    <comment ref="AH1" authorId="0">
      <text>
        <r>
          <rPr>
            <sz val="10"/>
            <rFont val="宋体"/>
            <charset val="134"/>
          </rPr>
          <t xml:space="preserve">仅支持单个IP </t>
        </r>
      </text>
    </comment>
    <comment ref="AI1" authorId="0">
      <text>
        <r>
          <rPr>
            <sz val="10"/>
            <rFont val="宋体"/>
            <charset val="134"/>
          </rPr>
          <t>输入多个端口，用","隔开，最多支持1000个端口，需要将映射端口和被映射端口两列的单元格格式修改为文本</t>
        </r>
      </text>
    </comment>
    <comment ref="AJ1" authorId="0">
      <text>
        <r>
          <rPr>
            <sz val="10"/>
            <rFont val="宋体"/>
            <charset val="134"/>
          </rPr>
          <t>输入多个端口，用","隔开，最多支持1000个端口，需要将映射端口和被映射端口两列的单元格格式修改为文本</t>
        </r>
      </text>
    </comment>
  </commentList>
</comments>
</file>

<file path=xl/sharedStrings.xml><?xml version="1.0" encoding="utf-8"?>
<sst xmlns="http://schemas.openxmlformats.org/spreadsheetml/2006/main" count="1455" uniqueCount="726">
  <si>
    <t>注：填充色为浅黄色的单元格需要手动查找数据填充，其余数据从MSSP平台导出底数据后覆盖子表内容，再更新单元格L1和M1自动按照统计周期计算结果；</t>
  </si>
  <si>
    <t>当前时间</t>
  </si>
  <si>
    <t>徐湃有限公司</t>
  </si>
  <si>
    <t>统计周期</t>
  </si>
  <si>
    <t>P8</t>
  </si>
  <si>
    <t>TOP3的核心业务系统</t>
  </si>
  <si>
    <t>手写-系统1</t>
  </si>
  <si>
    <t>威胁运营</t>
  </si>
  <si>
    <t>重保时间周期</t>
  </si>
  <si>
    <t>护网时间</t>
  </si>
  <si>
    <t>2026/03/01-2026/03/30</t>
  </si>
  <si>
    <t>护网，可选，固定此格，来源提示词</t>
  </si>
  <si>
    <t>手写-系统2</t>
  </si>
  <si>
    <t>安全策略调优数量</t>
  </si>
  <si>
    <t>元旦</t>
  </si>
  <si>
    <t>2026/01/01-2026/01/03</t>
  </si>
  <si>
    <t>其余假日：时间范围
中秋、国庆。元旦、春节、清明、五一、端午</t>
  </si>
  <si>
    <t>手写-系统3</t>
  </si>
  <si>
    <t>威胁告警总</t>
  </si>
  <si>
    <t>春节</t>
  </si>
  <si>
    <t>2026/02/15-2026/02/23</t>
  </si>
  <si>
    <t>安全风险总数</t>
  </si>
  <si>
    <t>核心系统威胁告警数量</t>
  </si>
  <si>
    <t>TOP3核心资产漏洞分布</t>
  </si>
  <si>
    <t>手写</t>
  </si>
  <si>
    <t>威胁平均遏制时间</t>
  </si>
  <si>
    <t>安全事件总数</t>
  </si>
  <si>
    <t>事件平均响应时长</t>
  </si>
  <si>
    <t>高危可利用漏洞数</t>
  </si>
  <si>
    <t>提取管理员弱口令数量</t>
  </si>
  <si>
    <t>核心系统事件数量</t>
  </si>
  <si>
    <t>管理员弱口令数量</t>
  </si>
  <si>
    <t>最新漏洞影响资产数</t>
  </si>
  <si>
    <t>提取事件表中未公开威胁类型工单中受影响资产的IP数量，1.1.1.1,2.2.2.2.这就是两个</t>
  </si>
  <si>
    <t>核心系统风险总数</t>
  </si>
  <si>
    <t>已闭环风险数</t>
  </si>
  <si>
    <t>核心系统风险闭环风险数</t>
  </si>
  <si>
    <t>已防护漏洞数</t>
  </si>
  <si>
    <t>核心系统威胁事件总数</t>
  </si>
  <si>
    <t>已修复漏洞数</t>
  </si>
  <si>
    <t>提取事件表中未公开威胁类型工单中受影响资产的IP数量</t>
  </si>
  <si>
    <t>已处置弱口令数量</t>
  </si>
  <si>
    <t>业务系统数量</t>
  </si>
  <si>
    <t>受影响的最新漏洞数</t>
  </si>
  <si>
    <t>服务器资产数量</t>
  </si>
  <si>
    <t>系统X已闭环风险数</t>
  </si>
  <si>
    <t>PC资产数量</t>
  </si>
  <si>
    <t>P14</t>
  </si>
  <si>
    <t>被通报风险总数</t>
  </si>
  <si>
    <t>通报风险应对</t>
  </si>
  <si>
    <t>外联通报风险次数</t>
  </si>
  <si>
    <t>漏扫次数</t>
  </si>
  <si>
    <t>已闭环漏洞总数</t>
  </si>
  <si>
    <t>已拦截外联次数</t>
  </si>
  <si>
    <t>恶意外联告警数</t>
  </si>
  <si>
    <t>本次汇报周期被通报次数</t>
  </si>
  <si>
    <t>P16</t>
  </si>
  <si>
    <t>「重要时期安全日志数」</t>
  </si>
  <si>
    <t>重保周期+重要节假日</t>
  </si>
  <si>
    <t>只统计安全告警日志，选择时间，取总数，超过六个月取不到</t>
  </si>
  <si>
    <t>重要时期保障</t>
  </si>
  <si>
    <t>「重要时期告警数」</t>
  </si>
  <si>
    <t>告警表在重保时间范围的</t>
  </si>
  <si>
    <t>「重要时期事件数」</t>
  </si>
  <si>
    <t>时间表在重保时间范围的</t>
  </si>
  <si>
    <t>重大事故数</t>
  </si>
  <si>
    <t>P19</t>
  </si>
  <si>
    <t>资产覆盖率</t>
  </si>
  <si>
    <t>威胁遏制率</t>
  </si>
  <si>
    <t>默认100%</t>
  </si>
  <si>
    <t>高危漏洞防护率</t>
  </si>
  <si>
    <t>平均分析时间</t>
  </si>
  <si>
    <t>平均响应时间</t>
  </si>
  <si>
    <t>已闭环漏洞数量</t>
  </si>
  <si>
    <t>威胁和事件数量</t>
  </si>
  <si>
    <t>两名高级安全工程师成本</t>
  </si>
  <si>
    <t>P27</t>
  </si>
  <si>
    <t>事件平均响应时间</t>
  </si>
  <si>
    <t>事件平均处置时长</t>
  </si>
  <si>
    <t>事件闭环率</t>
  </si>
  <si>
    <t>安全事件类型TOP5</t>
  </si>
  <si>
    <t>渗透框架</t>
  </si>
  <si>
    <t>平均处置时间（分钟）</t>
  </si>
  <si>
    <t>识别</t>
  </si>
  <si>
    <t>木马</t>
  </si>
  <si>
    <t>响应</t>
  </si>
  <si>
    <t>代理工具</t>
  </si>
  <si>
    <t>遏制</t>
  </si>
  <si>
    <t>挖矿</t>
  </si>
  <si>
    <t>处置</t>
  </si>
  <si>
    <t>账号安全</t>
  </si>
  <si>
    <t>闭环</t>
  </si>
  <si>
    <t>平均响应时效趋势</t>
  </si>
  <si>
    <t>月份</t>
  </si>
  <si>
    <t>平均响应时长</t>
  </si>
  <si>
    <t>P28</t>
  </si>
  <si>
    <t>外部攻击日志数量（XDR）</t>
  </si>
  <si>
    <t>攻击来源地域分布top5</t>
  </si>
  <si>
    <t>攻击数量</t>
  </si>
  <si>
    <t>攻击类型top5</t>
  </si>
  <si>
    <t>遭受外部攻击的主机</t>
  </si>
  <si>
    <t>日志数量</t>
  </si>
  <si>
    <t>威胁总览</t>
  </si>
  <si>
    <t>实时威胁告警数量</t>
  </si>
  <si>
    <t>中国 上海市</t>
  </si>
  <si>
    <t>代码注入</t>
  </si>
  <si>
    <t>192.168.22.54（应用服务器）</t>
  </si>
  <si>
    <t>MSS威胁工单数量</t>
  </si>
  <si>
    <t>中国 浙江省</t>
  </si>
  <si>
    <t>信息泄露</t>
  </si>
  <si>
    <t>192.168.22.23（天津堡垒机）</t>
  </si>
  <si>
    <t>威胁工单平均响应时间</t>
  </si>
  <si>
    <t>中国 天津市</t>
  </si>
  <si>
    <t>扫描工具</t>
  </si>
  <si>
    <t>192.168.9.10（资产发现系统默认分组）</t>
  </si>
  <si>
    <t>策略检查</t>
  </si>
  <si>
    <t>安全设备策略检查次数</t>
  </si>
  <si>
    <t>中国 北京市</t>
  </si>
  <si>
    <t>开源和商业应用漏洞</t>
  </si>
  <si>
    <t>192.168.22.55（应用备用服务器）</t>
  </si>
  <si>
    <t>已优化的策略风险数量</t>
  </si>
  <si>
    <t>中国 山东省</t>
  </si>
  <si>
    <t>Web框架漏洞</t>
  </si>
  <si>
    <t>192.168.22.4（天津ssl vpn）</t>
  </si>
  <si>
    <t>最新威胁</t>
  </si>
  <si>
    <t>最新威胁情报数量</t>
  </si>
  <si>
    <t>gpt问：帮我输出xx客户xxx时间的安全态势攻击报告</t>
  </si>
  <si>
    <t>最新威胁影响资产数</t>
  </si>
  <si>
    <t>威胁运营趋势---XDR平台获取</t>
  </si>
  <si>
    <t>回到旧版，外到内</t>
  </si>
  <si>
    <t>外部攻击数</t>
  </si>
  <si>
    <t>内到外，选单独月的时间取值</t>
  </si>
  <si>
    <t>恶意外联数</t>
  </si>
  <si>
    <t>内部横向攻击数</t>
  </si>
  <si>
    <t>告警数</t>
  </si>
  <si>
    <t>有效事件数</t>
  </si>
  <si>
    <t>风险主机数</t>
  </si>
  <si>
    <t>P29</t>
  </si>
  <si>
    <t>已闭环外网资产漏洞数</t>
  </si>
  <si>
    <t>管理员弱密码数</t>
  </si>
  <si>
    <t>高危可利用漏洞闭环率</t>
  </si>
  <si>
    <t>互联网IP数量</t>
  </si>
  <si>
    <t>内网服务器资产数量</t>
  </si>
  <si>
    <t>漏洞扫描次数</t>
  </si>
  <si>
    <t>互联网端口数量</t>
  </si>
  <si>
    <t>内网MSS服务资产数</t>
  </si>
  <si>
    <t>暴露面风险端口数量</t>
  </si>
  <si>
    <t>内网MSS资产安全漏洞总数</t>
  </si>
  <si>
    <t>漏洞分布</t>
  </si>
  <si>
    <t>总数</t>
  </si>
  <si>
    <t>已闭环数</t>
  </si>
  <si>
    <t>闭环率</t>
  </si>
  <si>
    <t>外网资产漏洞数量</t>
  </si>
  <si>
    <t>高危漏洞</t>
  </si>
  <si>
    <t>中危漏洞</t>
  </si>
  <si>
    <t>低危漏洞</t>
  </si>
  <si>
    <t>漏洞趋势</t>
  </si>
  <si>
    <t>剩余漏洞数量</t>
  </si>
  <si>
    <t>已闭环漏洞数</t>
  </si>
  <si>
    <t>P30</t>
  </si>
  <si>
    <t>重要时期值守次数</t>
  </si>
  <si>
    <t>重要时期安全态势分布</t>
  </si>
  <si>
    <t>日均攻击数</t>
  </si>
  <si>
    <t>防御率</t>
  </si>
  <si>
    <t>概览数据</t>
  </si>
  <si>
    <t>重要时期安全事件数</t>
  </si>
  <si>
    <t>中秋（25/9/15-9/17）</t>
  </si>
  <si>
    <t>业务可用性保障</t>
  </si>
  <si>
    <t>国庆（25/10/1-10/8）</t>
  </si>
  <si>
    <t>元旦（26/1/1-1/3）</t>
  </si>
  <si>
    <t>春节（26/2/10-2/25）</t>
  </si>
  <si>
    <t>P9</t>
  </si>
  <si>
    <t>接入组件数量</t>
  </si>
  <si>
    <t>xdr日志数</t>
  </si>
  <si>
    <t>NDR-sangfor</t>
  </si>
  <si>
    <t>xdr告警数</t>
  </si>
  <si>
    <t>AF</t>
  </si>
  <si>
    <t>xdr事件数</t>
  </si>
  <si>
    <t>STA</t>
  </si>
  <si>
    <t>已处置事件数</t>
  </si>
  <si>
    <t>第三方</t>
  </si>
  <si>
    <t>本地处置事件数</t>
  </si>
  <si>
    <t>EDR-sangfor</t>
  </si>
  <si>
    <t>mss处置事件数</t>
  </si>
  <si>
    <t>EDR</t>
  </si>
  <si>
    <t>自动处置事件数</t>
  </si>
  <si>
    <t>处置中事件数</t>
  </si>
  <si>
    <t>待处置事件数</t>
  </si>
  <si>
    <t>P12</t>
  </si>
  <si>
    <t>高危漏洞数</t>
  </si>
  <si>
    <t>未公开威胁去重资产数</t>
  </si>
  <si>
    <t>高危漏洞去重资产数</t>
  </si>
  <si>
    <t>系统1相关脆弱性和事件</t>
  </si>
  <si>
    <t>系统1相关已处置脆弱性和事件</t>
  </si>
  <si>
    <t>管理员弱口令去重资产数</t>
  </si>
  <si>
    <t>系统1已处置脆弱性占比</t>
  </si>
  <si>
    <t>未公开威胁事件数</t>
  </si>
  <si>
    <t>系统2相关脆弱性和事件</t>
  </si>
  <si>
    <t>系统2相关已处置脆弱性和事件</t>
  </si>
  <si>
    <t>系统2已处置脆弱性占比</t>
  </si>
  <si>
    <t>系统3相关脆弱性和事件</t>
  </si>
  <si>
    <t>已处置管理员弱口令数</t>
  </si>
  <si>
    <t>系统3相关已处置脆弱性和事件</t>
  </si>
  <si>
    <t>系统3已处置脆弱性占比</t>
  </si>
  <si>
    <t>P15</t>
  </si>
  <si>
    <t>预估降低被通报风险次数</t>
  </si>
  <si>
    <t>预估降低被通报风险次数-高危漏洞</t>
  </si>
  <si>
    <t>已处置弱口令数</t>
  </si>
  <si>
    <t>预估降低被通报风险次数-高危端口</t>
  </si>
  <si>
    <t>核心业务系统已处置弱口令数</t>
  </si>
  <si>
    <t>预估降低被通报风险次数-弱密码</t>
  </si>
  <si>
    <t>通告并处置木马事件数</t>
  </si>
  <si>
    <t>预估降低被通报风险次数-恶意外联</t>
  </si>
  <si>
    <t>弱密码表弱口令数</t>
  </si>
  <si>
    <t>EDR识别并处置数</t>
  </si>
  <si>
    <t>预估降低被通报风险次数-网站不良内容</t>
  </si>
  <si>
    <t>漏洞表弱口令数</t>
  </si>
  <si>
    <t>闭环安全隐患数</t>
  </si>
  <si>
    <t>P17</t>
  </si>
  <si>
    <t>暴露面数</t>
  </si>
  <si>
    <t>攻防演习防守保障</t>
  </si>
  <si>
    <t>HW及前一周已加固中高危漏洞数</t>
  </si>
  <si>
    <t>HW防守事件数</t>
  </si>
  <si>
    <t>P37</t>
  </si>
  <si>
    <t>告警定性</t>
  </si>
  <si>
    <t>未知威胁</t>
  </si>
  <si>
    <t>扫描器攻击</t>
  </si>
  <si>
    <t>业务行为</t>
  </si>
  <si>
    <t>病毒</t>
  </si>
  <si>
    <t>告警定性分布</t>
  </si>
  <si>
    <t>事件定性</t>
  </si>
  <si>
    <t>事件定性数量</t>
  </si>
  <si>
    <t>事件定性分布</t>
  </si>
  <si>
    <t>风险管理</t>
  </si>
  <si>
    <t>类别</t>
  </si>
  <si>
    <t>子类别</t>
  </si>
  <si>
    <t>服务执行机制</t>
  </si>
  <si>
    <t>用户方配合事项</t>
  </si>
  <si>
    <t>执行标准</t>
  </si>
  <si>
    <t>互联网暴露面</t>
  </si>
  <si>
    <t>暴露面分析</t>
  </si>
  <si>
    <t>首次全面梳理
常态化监测扫描，每周轮询扫描一次</t>
  </si>
  <si>
    <t>确认暴露面是否为业务需要，对不需要的暴露面做访问权限收敛</t>
  </si>
  <si>
    <t>每季度/次</t>
  </si>
  <si>
    <t>攻击面分析</t>
  </si>
  <si>
    <t>首次全面梳理外部攻击面及暴露面弱点
常态化监测扫描，每两周周轮询扫描一次</t>
  </si>
  <si>
    <t>对外部暴露面存在的业务弱点进行修复加固</t>
  </si>
  <si>
    <t>每半年/次</t>
  </si>
  <si>
    <t>敏感数据泄露监测</t>
  </si>
  <si>
    <t>采用网络监测手段实时爬取暗网等平台是否存在单位相关的关键字数据信息，检测到后实时告警推送预警</t>
  </si>
  <si>
    <t>对异常数据外泄采取应对措施，降低影响</t>
  </si>
  <si>
    <t>7*24实时预警</t>
  </si>
  <si>
    <t>漏洞管理</t>
  </si>
  <si>
    <t>互联网资产漏洞</t>
  </si>
  <si>
    <t>高危可利用：每季度针对服务器操作系统和应用程序执行一次漏洞扫描，验证漏洞的利用危害和业务影响</t>
  </si>
  <si>
    <t>AF防护，针对AF无法防护的需要用户业务侧修复漏洞；
分发漏洞工单到业务系统维护方，开展漏洞修复和闭环跟进</t>
  </si>
  <si>
    <t>低可利用漏洞：每季度针对服务器操作系统和应用程序执行一次漏洞扫描，整理漏洞优先级</t>
  </si>
  <si>
    <t>针对有条件修复的漏洞定期进行补丁修复；修改系统配置或访问权限降低漏洞被利用的风险</t>
  </si>
  <si>
    <t>内网资产漏洞</t>
  </si>
  <si>
    <t>高危可利用：每季度针对服务器操作系统和应用程序执行一次漏洞扫描，整理漏洞优先级</t>
  </si>
  <si>
    <t>业务弱点</t>
  </si>
  <si>
    <t>管理员弱密码</t>
  </si>
  <si>
    <t>主动探测：定期TSS扫描；
被动监测：实时推送工单，及时修改密码加固</t>
  </si>
  <si>
    <t>对发现的弱密码进行修改，制定/优化应用系统密码规则</t>
  </si>
  <si>
    <t>互联网系统弱密码</t>
  </si>
  <si>
    <t>被动监测：通过访问流量监测，发现后试试告警，通告用户方可及时修改强密码及密码规则；
主动探测：每季度执行一次互联网弱密码扫描</t>
  </si>
  <si>
    <t>内网普通用户弱密码</t>
  </si>
  <si>
    <t>被动监测：通过访问流量监测，发现后试试告警，通告用户方可及时修改强密码及密码规则；</t>
  </si>
  <si>
    <t>每周/次</t>
  </si>
  <si>
    <t>重大威胁</t>
  </si>
  <si>
    <t>定义：攻击者对内网发起的有组织，有预谋的持续性网络攻击（如 APT、新型威胁等）
7*24小时持续监测，发现有效威胁实时响应，遏制影响；</t>
  </si>
  <si>
    <t>如发生业务行为命中安全规则被判定为攻击行为，封堵了源IP后造成业务访问异常时，反馈至服务群，解除封锁</t>
  </si>
  <si>
    <t>7*24实时处置</t>
  </si>
  <si>
    <t>一般威胁</t>
  </si>
  <si>
    <t>定义：攻击者发起网络安全攻击，但是对业务未造成任何影响
7*24小时持续监测，发现有效威胁实时响应，遏制影响；</t>
  </si>
  <si>
    <t>威胁预防</t>
  </si>
  <si>
    <t>定期开展安全设备策略/规则库检查，确保安全基础设施有效运行</t>
  </si>
  <si>
    <t>对存在风险的安全策略配合追溯原因和评估改进策略的可行性</t>
  </si>
  <si>
    <t>每月/次</t>
  </si>
  <si>
    <t>闭环管理</t>
  </si>
  <si>
    <t>①抑制：限制攻击或破坏涉及的范围，降低潜在的损失
②调查：充足的举证信息
③溯源：详细完整的入侵路径
④处置：已发现问题的解决
⑤加固：杜绝问题再次发生</t>
  </si>
  <si>
    <t>事件/告警分级定义标准</t>
  </si>
  <si>
    <t>事件类型</t>
  </si>
  <si>
    <t>判断特征</t>
  </si>
  <si>
    <t>事件定级</t>
  </si>
  <si>
    <t>响应与闭环预案</t>
  </si>
  <si>
    <t>威胁及事件等级</t>
  </si>
  <si>
    <t>等级描述</t>
  </si>
  <si>
    <t>等级示例</t>
  </si>
  <si>
    <t>SLA要求</t>
  </si>
  <si>
    <t>闭环要求</t>
  </si>
  <si>
    <t>网络攻击</t>
  </si>
  <si>
    <r>
      <rPr>
        <b/>
        <sz val="12"/>
        <color rgb="FF000000"/>
        <rFont val="宋体"/>
        <charset val="134"/>
      </rPr>
      <t>攻击成功</t>
    </r>
    <r>
      <rPr>
        <sz val="12"/>
        <color rgb="FF000000"/>
        <rFont val="宋体"/>
        <charset val="134"/>
      </rPr>
      <t>（例：Webshell上传成功）</t>
    </r>
  </si>
  <si>
    <t>重大事件</t>
  </si>
  <si>
    <t>抑制：联动AF封堵攻击源IP、隔离主机可疑进程或被上传的文件；
调查：关联日志分析攻击影响范围，对入侵成功的主机上机排查攻击动作痕迹和残余风险；
溯源：上机排查主机日志，结合流量日志还原攻击路径，找到入侵源头
处置：清除主机恶意文件/进程，恢复主机网络权限；
加固：针对入侵源头利用的漏洞点修复加固，加强安全策略配置</t>
  </si>
  <si>
    <r>
      <rPr>
        <b/>
        <sz val="12"/>
        <color rgb="FFC00000"/>
        <rFont val="宋体"/>
        <charset val="134"/>
        <scheme val="minor"/>
      </rPr>
      <t>重大事故</t>
    </r>
    <r>
      <rPr>
        <b/>
        <sz val="11"/>
        <color rgb="FFC00000"/>
        <rFont val="宋体"/>
        <charset val="134"/>
        <scheme val="minor"/>
      </rPr>
      <t xml:space="preserve">
</t>
    </r>
    <r>
      <rPr>
        <sz val="11"/>
        <color rgb="FFC00000"/>
        <rFont val="宋体"/>
        <charset val="134"/>
        <scheme val="minor"/>
      </rPr>
      <t>（对标国家标准I级事件）</t>
    </r>
  </si>
  <si>
    <t>因安全事件造成单位网络较大面积中断或主营业务系统较大面积瘫痪，影响系统重要客户的正常业务工作、对单位造成重大经济损失的或产生较严重不良社会影响：
1、网络较大面积中断：因网络中断，造成单位内半数以上部门不能正常使用一个及以上主营业务系统，持续时间超过 12 小时以上；
2、主营业务系统较大面积瘫痪：因系统主要功能不可用，造成单位内半数以上部门不能正常使用一个及以上主营业务系统，系统瘫痪时间 12 个小时以上。</t>
  </si>
  <si>
    <r>
      <rPr>
        <sz val="11"/>
        <color theme="1"/>
        <rFont val="宋体"/>
        <charset val="134"/>
        <scheme val="minor"/>
      </rPr>
      <t xml:space="preserve">1、网络攻击类
</t>
    </r>
    <r>
      <rPr>
        <sz val="11"/>
        <color rgb="FFFF0000"/>
        <rFont val="宋体"/>
        <charset val="134"/>
        <scheme val="minor"/>
      </rPr>
      <t>外部攻击成功</t>
    </r>
    <r>
      <rPr>
        <sz val="11"/>
        <color theme="1"/>
        <rFont val="宋体"/>
        <charset val="134"/>
        <scheme val="minor"/>
      </rPr>
      <t>（webshell后门上传/远程命令执行/反序列化命令执行/远程漏洞利用成功等）且</t>
    </r>
    <r>
      <rPr>
        <sz val="11"/>
        <color rgb="FFFF0000"/>
        <rFont val="宋体"/>
        <charset val="134"/>
        <scheme val="minor"/>
      </rPr>
      <t>造成业务中断或关键业务数据丢失，影响重大</t>
    </r>
    <r>
      <rPr>
        <sz val="11"/>
        <color theme="1"/>
        <rFont val="宋体"/>
        <charset val="134"/>
        <scheme val="minor"/>
      </rPr>
      <t>的
2、病毒木马类
如加密勒索软件/webshell后门/黑链/主机存在恶意命令执行等事件发生，对</t>
    </r>
    <r>
      <rPr>
        <sz val="11"/>
        <color rgb="FFFF0000"/>
        <rFont val="宋体"/>
        <charset val="134"/>
        <scheme val="minor"/>
      </rPr>
      <t>业务连续性造成恶劣影响或产生勒索赔偿</t>
    </r>
    <r>
      <rPr>
        <sz val="11"/>
        <color theme="1"/>
        <rFont val="宋体"/>
        <charset val="134"/>
        <scheme val="minor"/>
      </rPr>
      <t>等重大损失的</t>
    </r>
  </si>
  <si>
    <t>启用应急响应机制，工作时间15分钟，非工作时间30分钟之内云端专家进行响应，默认由专家团队进行远程协助解决，如远程无法解决的则采用最快的交通工具，省会2小时内上门处置，省内8小时内上门处置。</t>
  </si>
  <si>
    <t>抑制--&gt;调查--&gt;溯源--&gt;处置--&gt;加固</t>
  </si>
  <si>
    <r>
      <rPr>
        <b/>
        <sz val="12"/>
        <color rgb="FF000000"/>
        <rFont val="宋体"/>
        <charset val="134"/>
      </rPr>
      <t>攻击失败</t>
    </r>
    <r>
      <rPr>
        <sz val="12"/>
        <color rgb="FF000000"/>
        <rFont val="宋体"/>
        <charset val="134"/>
      </rPr>
      <t>（例：外网主机对内网主机发起一对多攻击）</t>
    </r>
  </si>
  <si>
    <t>抑制（处置）：联动AF封堵攻击源IP</t>
  </si>
  <si>
    <r>
      <rPr>
        <b/>
        <sz val="12"/>
        <color rgb="FFFF0000"/>
        <rFont val="宋体"/>
        <charset val="134"/>
        <scheme val="minor"/>
      </rPr>
      <t>重大事件</t>
    </r>
    <r>
      <rPr>
        <b/>
        <sz val="11"/>
        <color rgb="FFFF0000"/>
        <rFont val="宋体"/>
        <charset val="134"/>
        <scheme val="minor"/>
      </rPr>
      <t xml:space="preserve">
</t>
    </r>
    <r>
      <rPr>
        <sz val="11"/>
        <color rgb="FFFF0000"/>
        <rFont val="宋体"/>
        <charset val="134"/>
        <scheme val="minor"/>
      </rPr>
      <t>（对标国家标准II级和III级事件）</t>
    </r>
  </si>
  <si>
    <t>因安全事件造成单位主营业务系统中断、敏感数据泄密，信息系统发布和传播系统发生篡改，影响系统部分客户的正常业务工作，或者被监管或主管单位通报，对单位造成较小损失或产生较小不良社会影响的。</t>
  </si>
  <si>
    <r>
      <rPr>
        <b/>
        <sz val="11"/>
        <color theme="1"/>
        <rFont val="宋体"/>
        <charset val="134"/>
        <scheme val="minor"/>
      </rPr>
      <t>1、网络攻击类</t>
    </r>
    <r>
      <rPr>
        <sz val="11"/>
        <color theme="1"/>
        <rFont val="宋体"/>
        <charset val="134"/>
        <scheme val="minor"/>
      </rPr>
      <t xml:space="preserve">
</t>
    </r>
    <r>
      <rPr>
        <b/>
        <sz val="11"/>
        <color rgb="FFFF0000"/>
        <rFont val="宋体"/>
        <charset val="134"/>
        <scheme val="minor"/>
      </rPr>
      <t>1）外部攻击成功</t>
    </r>
    <r>
      <rPr>
        <sz val="11"/>
        <color theme="1"/>
        <rFont val="宋体"/>
        <charset val="134"/>
        <scheme val="minor"/>
      </rPr>
      <t xml:space="preserve">（webshell后门上传/远程命令执行/反序列化命令执行/远程漏洞利用成功/其他符合该等级的事件）
</t>
    </r>
    <r>
      <rPr>
        <b/>
        <sz val="11"/>
        <color rgb="FFFF0000"/>
        <rFont val="宋体"/>
        <charset val="134"/>
        <scheme val="minor"/>
      </rPr>
      <t>2）内部横向或内对外攻击成功</t>
    </r>
    <r>
      <rPr>
        <sz val="11"/>
        <color theme="1"/>
        <rFont val="宋体"/>
        <charset val="134"/>
        <scheme val="minor"/>
      </rPr>
      <t xml:space="preserve">（RDP暴力破解/系统命令执行/远程命令执行/其他符合该等级的事件）
</t>
    </r>
    <r>
      <rPr>
        <b/>
        <sz val="11"/>
        <color theme="1"/>
        <rFont val="宋体"/>
        <charset val="134"/>
        <scheme val="minor"/>
      </rPr>
      <t xml:space="preserve">2、病毒木马类
</t>
    </r>
    <r>
      <rPr>
        <sz val="11"/>
        <color theme="1"/>
        <rFont val="宋体"/>
        <charset val="134"/>
        <scheme val="minor"/>
      </rPr>
      <t>1）加密勒索软件/webshell后门/黑链/主机存在恶意命令执行/其他符合该等级的事件</t>
    </r>
  </si>
  <si>
    <t>通告时间：从安全日志分析研判到通告，用时&lt;30min
遏制影响时间：遏制影响时间&lt;1h
准确率：安全事件经过人工确认后，准确率达到99%
闭环率：100%</t>
  </si>
  <si>
    <t>病毒木马</t>
  </si>
  <si>
    <r>
      <rPr>
        <b/>
        <sz val="12"/>
        <color rgb="FF000000"/>
        <rFont val="宋体"/>
        <charset val="134"/>
      </rPr>
      <t>感染型病毒</t>
    </r>
    <r>
      <rPr>
        <sz val="12"/>
        <color rgb="FF000000"/>
        <rFont val="宋体"/>
        <charset val="134"/>
      </rPr>
      <t>（例：勒索病毒感染）</t>
    </r>
  </si>
  <si>
    <t>抑制：联动AF封堵外联目的IP/域名、联动EDR隔离主机可疑文件或主机网络权限
调查：联动EDR执行全盘查杀，关联主机流量侧行为日志调查扩散的影响范围
溯源：结合网络流量日志和主机操作日志，查明病毒文件上传途径
处置：清除主机病毒文件
加固：针对病毒文件上传途径做好安全加固（漏洞修复/加强密码策略/提高人员安全意识）</t>
  </si>
  <si>
    <r>
      <rPr>
        <b/>
        <sz val="12"/>
        <color rgb="FFFFC000"/>
        <rFont val="宋体"/>
        <charset val="134"/>
        <scheme val="minor"/>
      </rPr>
      <t>一般事件</t>
    </r>
    <r>
      <rPr>
        <b/>
        <sz val="11"/>
        <color rgb="FFFFC000"/>
        <rFont val="宋体"/>
        <charset val="134"/>
        <scheme val="minor"/>
      </rPr>
      <t xml:space="preserve">
</t>
    </r>
    <r>
      <rPr>
        <sz val="11"/>
        <color rgb="FFFFC000"/>
        <rFont val="宋体"/>
        <charset val="134"/>
        <scheme val="minor"/>
      </rPr>
      <t>（对标国家标准IV级事件）</t>
    </r>
  </si>
  <si>
    <t>因安全事件导致的内网小范围出现的网络延时或故障，信息系统功能缺陷或者短暂不可用，导致个别用户或者业务受影响等技术层面的事件，但是这些事件没有带来实际的损失和影响。</t>
  </si>
  <si>
    <r>
      <rPr>
        <b/>
        <sz val="11"/>
        <color theme="1"/>
        <rFont val="宋体"/>
        <charset val="134"/>
        <scheme val="minor"/>
      </rPr>
      <t>1、网络攻击类</t>
    </r>
    <r>
      <rPr>
        <sz val="11"/>
        <color theme="1"/>
        <rFont val="宋体"/>
        <charset val="134"/>
        <scheme val="minor"/>
      </rPr>
      <t xml:space="preserve">
</t>
    </r>
    <r>
      <rPr>
        <b/>
        <sz val="11"/>
        <color rgb="FFFF0000"/>
        <rFont val="宋体"/>
        <charset val="134"/>
        <scheme val="minor"/>
      </rPr>
      <t>1）外部攻击成功</t>
    </r>
    <r>
      <rPr>
        <sz val="11"/>
        <color theme="1"/>
        <rFont val="宋体"/>
        <charset val="134"/>
        <scheme val="minor"/>
      </rPr>
      <t xml:space="preserve">（主机收到垃圾邮件/方法过滤/目录遍历攻击/过滤HTTP出错页面/其他符合该等级的事件）
</t>
    </r>
    <r>
      <rPr>
        <b/>
        <sz val="11"/>
        <color rgb="FFFF0000"/>
        <rFont val="宋体"/>
        <charset val="134"/>
        <scheme val="minor"/>
      </rPr>
      <t>2）内部横向或内对外攻击失败</t>
    </r>
    <r>
      <rPr>
        <sz val="11"/>
        <color theme="1"/>
        <rFont val="宋体"/>
        <charset val="134"/>
        <scheme val="minor"/>
      </rPr>
      <t xml:space="preserve">（漏洞利用攻击/SQL注入攻击/SMB暴力破解/其他符合该等级的事件）
</t>
    </r>
    <r>
      <rPr>
        <b/>
        <sz val="11"/>
        <color theme="1"/>
        <rFont val="宋体"/>
        <charset val="134"/>
        <scheme val="minor"/>
      </rPr>
      <t xml:space="preserve">2、病毒木马类
</t>
    </r>
    <r>
      <rPr>
        <sz val="11"/>
        <color theme="1"/>
        <rFont val="宋体"/>
        <charset val="134"/>
        <scheme val="minor"/>
      </rPr>
      <t>1）如僵尸网络/木马病毒/挖矿病毒/恶意文件/其他符合该等级的事件</t>
    </r>
  </si>
  <si>
    <t>通告时间：从安全日志分析研判到通告，用时&lt;30min
遏制影响时间：遏制影响时间&lt;4h
准确率：安全事件经过人工确认后，准确率达到99%
闭环率：100%</t>
  </si>
  <si>
    <t>抑制--&gt;调查--&gt;处置</t>
  </si>
  <si>
    <r>
      <rPr>
        <b/>
        <sz val="12"/>
        <color rgb="FF000000"/>
        <rFont val="宋体"/>
        <charset val="134"/>
      </rPr>
      <t>非感染型病毒</t>
    </r>
    <r>
      <rPr>
        <sz val="12"/>
        <color rgb="FF000000"/>
        <rFont val="宋体"/>
        <charset val="134"/>
      </rPr>
      <t>（例：主机访问黑客工具C2地址）</t>
    </r>
  </si>
  <si>
    <t>一般事件</t>
  </si>
  <si>
    <t>抑制：联动AF封堵外联目的IP/域名、联动EDR隔离主机可疑文件或主机网络权限
调查：联动EDR执行全盘查杀，关联主机流量侧行为日志调查扩散的影响范围
处置：清除主机病毒文件</t>
  </si>
  <si>
    <t>攻击者对内网发起的有组织，有预谋的持续性网络攻击（如 APT）</t>
  </si>
  <si>
    <r>
      <rPr>
        <b/>
        <sz val="11"/>
        <color theme="1"/>
        <rFont val="宋体"/>
        <charset val="134"/>
        <scheme val="minor"/>
      </rPr>
      <t xml:space="preserve">1、网络攻击类
</t>
    </r>
    <r>
      <rPr>
        <sz val="11"/>
        <color theme="1"/>
        <rFont val="宋体"/>
        <charset val="134"/>
        <scheme val="minor"/>
      </rPr>
      <t>1）外部攻击失败（如APT攻击/持续性攻击）</t>
    </r>
  </si>
  <si>
    <t>通告时间：从安全日志分析研判到通告，用时&lt;1h
遏制影响时间：遏制影响时间&lt;1h
准确率：安全事件经过人工确认后，准确率达到99%
闭环率：100%</t>
  </si>
  <si>
    <t>抑制--&gt;处置</t>
  </si>
  <si>
    <t>脆弱性利用</t>
  </si>
  <si>
    <r>
      <rPr>
        <b/>
        <sz val="12"/>
        <color rgb="FF000000"/>
        <rFont val="宋体"/>
        <charset val="134"/>
      </rPr>
      <t>漏洞</t>
    </r>
    <r>
      <rPr>
        <sz val="12"/>
        <color rgb="FF000000"/>
        <rFont val="宋体"/>
        <charset val="134"/>
      </rPr>
      <t>（例：Shiro反序列化漏洞）</t>
    </r>
  </si>
  <si>
    <t>抑制：联动AF封堵攻击源IP
调查：查明主机是否存在对应利用的漏洞，核实是否存在被利用成功的痕迹
加固：加固漏洞补丁以及安全防护策略</t>
  </si>
  <si>
    <t>攻击者对内网发起网络安全攻击，但是对业务未造成任何影响</t>
  </si>
  <si>
    <r>
      <rPr>
        <b/>
        <sz val="11"/>
        <color theme="1"/>
        <rFont val="宋体"/>
        <charset val="134"/>
        <scheme val="minor"/>
      </rPr>
      <t>1、网络攻击类</t>
    </r>
    <r>
      <rPr>
        <sz val="11"/>
        <color theme="1"/>
        <rFont val="宋体"/>
        <charset val="134"/>
        <scheme val="minor"/>
      </rPr>
      <t xml:space="preserve">
1）外部攻击失败（如网站扫描/端口扫描/webshell上传/SQL注入攻击/其他符合该等级的事件）</t>
    </r>
  </si>
  <si>
    <t>通告时间：从安全日志分析研判到通告，用时&lt;2h
遏制影响时限：遏制影响时间&lt;4h
准确率：安全事件经过人工确认后，准确率达到99%
闭环率：100%</t>
  </si>
  <si>
    <t>抑制</t>
  </si>
  <si>
    <t>弱密码</t>
  </si>
  <si>
    <t>调查：针对互联网用户和管理员账户弱密码登录成功的，实时通告预警，核实是否为用户正常登录,如为用户正常登录则提醒修改强密码，如非用户登录则提醒用户立即修改密码或禁用账户；
加固：立即修改单用户密码，在应用系统层面加强密码规则</t>
  </si>
  <si>
    <t>业务连续性</t>
  </si>
  <si>
    <r>
      <rPr>
        <b/>
        <sz val="12"/>
        <color rgb="FF000000"/>
        <rFont val="宋体"/>
        <charset val="134"/>
      </rPr>
      <t>基础环境异常</t>
    </r>
    <r>
      <rPr>
        <sz val="12"/>
        <color rgb="FF000000"/>
        <rFont val="宋体"/>
        <charset val="134"/>
      </rPr>
      <t>：安全组件日志无法同步或同步时延增大</t>
    </r>
  </si>
  <si>
    <t>调查：查明组件是否运行正常，安全策略和日志是否有效
处置：针对安全设备存在的问题协调产品售后支持解决</t>
  </si>
  <si>
    <r>
      <rPr>
        <b/>
        <sz val="11"/>
        <color theme="1"/>
        <rFont val="宋体"/>
        <charset val="134"/>
        <scheme val="minor"/>
      </rPr>
      <t>业务访问中断：</t>
    </r>
    <r>
      <rPr>
        <sz val="11"/>
        <color theme="1"/>
        <rFont val="宋体"/>
        <charset val="134"/>
        <scheme val="minor"/>
      </rPr>
      <t>网站无法访问、设备接入云端平台离线</t>
    </r>
  </si>
  <si>
    <t>调查：查明是否为网络中断或对应系统软件/硬件工作异常，及时通告预警；
处置：排除故障，恢复业务</t>
  </si>
  <si>
    <t>服务内容</t>
  </si>
  <si>
    <t>资产类型</t>
  </si>
  <si>
    <t>类型</t>
  </si>
  <si>
    <t>子类型</t>
  </si>
  <si>
    <t>影子资产数</t>
  </si>
  <si>
    <t>基础资产</t>
  </si>
  <si>
    <t>域名资产</t>
  </si>
  <si>
    <t>根域名资产</t>
  </si>
  <si>
    <t>子域名资产</t>
  </si>
  <si>
    <t>IP资产</t>
  </si>
  <si>
    <t>端口资产</t>
  </si>
  <si>
    <t>WEB资产</t>
  </si>
  <si>
    <t>非WEB资产</t>
  </si>
  <si>
    <t>网络&amp;安全设备</t>
  </si>
  <si>
    <t>云类资产</t>
  </si>
  <si>
    <t>SSL证书</t>
  </si>
  <si>
    <t>/</t>
  </si>
  <si>
    <t>移动端资产</t>
  </si>
  <si>
    <t>APP</t>
  </si>
  <si>
    <t>公众号</t>
  </si>
  <si>
    <t>小程序</t>
  </si>
  <si>
    <t>序号</t>
  </si>
  <si>
    <t>漏洞名称</t>
  </si>
  <si>
    <t>扫描方式</t>
  </si>
  <si>
    <t>漏洞类型</t>
  </si>
  <si>
    <t>漏洞等级</t>
  </si>
  <si>
    <t>是否可利用</t>
  </si>
  <si>
    <t>防护规则</t>
  </si>
  <si>
    <t>业务系统</t>
  </si>
  <si>
    <t>负责人</t>
  </si>
  <si>
    <t>受影响主机/位置（系统导出）</t>
  </si>
  <si>
    <t>IP（手动分列增加）</t>
  </si>
  <si>
    <t>端口</t>
  </si>
  <si>
    <t>版本号</t>
  </si>
  <si>
    <t>内/外网（刷新资产表公式匹配）</t>
  </si>
  <si>
    <t>修复优先级</t>
  </si>
  <si>
    <t>跟进状态</t>
  </si>
  <si>
    <t>备注信息</t>
  </si>
  <si>
    <t>来源</t>
  </si>
  <si>
    <t>发现时间
（填充此单元格为粉红色代表是最近扫描新增漏洞）</t>
  </si>
  <si>
    <t>更新时间</t>
  </si>
  <si>
    <t>漏洞危害</t>
  </si>
  <si>
    <t>解决方案</t>
  </si>
  <si>
    <t>参考资料</t>
  </si>
  <si>
    <t>SSH Diffie-Hellman 模数 &lt;= 1024 位 (Logjam)(CVE-2015-4000)</t>
  </si>
  <si>
    <t>版本比较</t>
  </si>
  <si>
    <t>系统漏洞</t>
  </si>
  <si>
    <t>低危</t>
  </si>
  <si>
    <t>否</t>
  </si>
  <si>
    <t>无效</t>
  </si>
  <si>
    <t>XX1</t>
  </si>
  <si>
    <t>未知责任人</t>
  </si>
  <si>
    <t>192.168.9.20</t>
  </si>
  <si>
    <t>22</t>
  </si>
  <si>
    <t>-</t>
  </si>
  <si>
    <t>建议修复</t>
  </si>
  <si>
    <t>处置中</t>
  </si>
  <si>
    <t>TSS</t>
  </si>
  <si>
    <t>这允许攻击者恢复明文或可能违反连接的完整性。</t>
  </si>
  <si>
    <t>重新配置服务以使用唯一的、2048 位或更高位数的 Diffie-Hellman moduli。</t>
  </si>
  <si>
    <t>https://weakdh.org/
https://stribika.github.io/2015/01/04/secure-secure-shell.html
https://www.cnnvd.org.cn/home/globalSearch?keyword=CNNVD-201505-428
http://www.securityfocus.com/bid/74733
http://www.securityfocus.com/bid/91787</t>
  </si>
  <si>
    <t>XX2</t>
  </si>
  <si>
    <t>192.168.9.220</t>
  </si>
  <si>
    <t>支持SSL 64位块大小的密码套件（SWEET32）</t>
  </si>
  <si>
    <t>原理扫描</t>
  </si>
  <si>
    <t>高危</t>
  </si>
  <si>
    <t>XX3</t>
  </si>
  <si>
    <t>172.20.34.80</t>
  </si>
  <si>
    <t>3389</t>
  </si>
  <si>
    <t>尽快修复</t>
  </si>
  <si>
    <t>具有足够资源的中间人攻击者可利用此漏洞,通过“birthday”攻击检测会在固定密码与已知纯文本之间泄露 XOR 的冲突,进而泄露密码文本（例如安全 HTTPS Cookie）,并可能导致劫持经认证的会话。</t>
  </si>
  <si>
    <t>参见《支持SSL 64位块大小的密码套件（SWEET32）-修复方案》</t>
  </si>
  <si>
    <t>https://blog.csdn.net/weixin_46167705/article/details/123374139</t>
  </si>
  <si>
    <t>XX4</t>
  </si>
  <si>
    <t>172.20.34.78</t>
  </si>
  <si>
    <t>终端服务未使用网络级别身份验证（NLA）</t>
  </si>
  <si>
    <t>中危</t>
  </si>
  <si>
    <t>XX5</t>
  </si>
  <si>
    <t>未使用该认证的远程主机受攻击的风险等级高。</t>
  </si>
  <si>
    <t>参见《终端服务未使用网络级别身份验证（NLA）-修复方案》</t>
  </si>
  <si>
    <t>https://blog.csdn.net/spring_is_coming/article/details/124982320</t>
  </si>
  <si>
    <t>XX6</t>
  </si>
  <si>
    <t>172.20.34.70</t>
  </si>
  <si>
    <t>SSL RC4 加密套件支持检测 (Bar Mitzvah)</t>
  </si>
  <si>
    <t>XX7</t>
  </si>
  <si>
    <t>攻击者可利用大量的密文推测明文，导致远程主机信息泄露。</t>
  </si>
  <si>
    <t>参见《SSL RC4 加密套件支持检测 (Bar Mitzvah)-修复方案》</t>
  </si>
  <si>
    <t>https://www.imperva.com/docs/HII_Attacking_SSL_when_using_RC4.pdf
https://blog.csdn.net/m0_54434140/article/details/126536929</t>
  </si>
  <si>
    <t>XX8</t>
  </si>
  <si>
    <t>*业务名称</t>
  </si>
  <si>
    <t>*IP/URL</t>
  </si>
  <si>
    <t>*业务等级</t>
  </si>
  <si>
    <t>*服务类型</t>
  </si>
  <si>
    <t>*资产类型</t>
  </si>
  <si>
    <t>业务责任人</t>
  </si>
  <si>
    <t>业务责任人邮箱</t>
  </si>
  <si>
    <t>业务责任人电话</t>
  </si>
  <si>
    <t>Agent ID</t>
  </si>
  <si>
    <t>存活状态</t>
  </si>
  <si>
    <t>资产标签</t>
  </si>
  <si>
    <t>服务/端口</t>
  </si>
  <si>
    <t>操作系统</t>
  </si>
  <si>
    <t>数据库</t>
  </si>
  <si>
    <t>中间件</t>
  </si>
  <si>
    <t>开发语言</t>
  </si>
  <si>
    <t>开发框架</t>
  </si>
  <si>
    <t>应用/服务</t>
  </si>
  <si>
    <t>AF可防护</t>
  </si>
  <si>
    <t>EDR状态</t>
  </si>
  <si>
    <t>设备产商</t>
  </si>
  <si>
    <t>设备名称</t>
  </si>
  <si>
    <t>域名/URL</t>
  </si>
  <si>
    <t>应用品牌</t>
  </si>
  <si>
    <t>应用版本</t>
  </si>
  <si>
    <t>资产管理部门</t>
  </si>
  <si>
    <t>资产责任人</t>
  </si>
  <si>
    <t>资产责任人邮箱</t>
  </si>
  <si>
    <t>资产责任人电话</t>
  </si>
  <si>
    <t>扫描设备</t>
  </si>
  <si>
    <t>分支</t>
  </si>
  <si>
    <t>安全域</t>
  </si>
  <si>
    <t>公网IP</t>
  </si>
  <si>
    <t>映射端口</t>
  </si>
  <si>
    <t>被映射端口</t>
  </si>
  <si>
    <r>
      <rPr>
        <sz val="10"/>
        <rFont val="宋体-简"/>
        <charset val="134"/>
      </rPr>
      <t>系统</t>
    </r>
    <r>
      <rPr>
        <sz val="10"/>
        <rFont val="Arial"/>
        <charset val="134"/>
      </rPr>
      <t>1</t>
    </r>
  </si>
  <si>
    <t>一般</t>
  </si>
  <si>
    <t>服务外</t>
  </si>
  <si>
    <t>物联网设备</t>
  </si>
  <si>
    <t>在线</t>
  </si>
  <si>
    <t>dhanalakshmi(34567)
soap(8899)
unknown(9530,34561)
http(80)
rtsp(554)</t>
  </si>
  <si>
    <t xml:space="preserve">linux </t>
  </si>
  <si>
    <t>uc-httpd 1.0.0</t>
  </si>
  <si>
    <t>gSOAP 2.7</t>
  </si>
  <si>
    <t>NETSurveillance(Xiongmai-Cameras-and-Surveillance)(uc-httpd),DVR</t>
  </si>
  <si>
    <t>内网</t>
  </si>
  <si>
    <t>系统1</t>
  </si>
  <si>
    <t>服务器</t>
  </si>
  <si>
    <t>http(9000,5357,8585)
pando-pub(7680)
mysql(3306)
msrpc(49667,49665,49670,135,49675,49664,49666,49669,49668)
netbios-ssn(139)
ms-wbt-server(4490)
microsoft-ds(445)
unknown(55064,5040)</t>
  </si>
  <si>
    <t xml:space="preserve">windows </t>
  </si>
  <si>
    <t>MySQL</t>
  </si>
  <si>
    <t>HttpSvr
Microsoft-HTTPAPI 2.0
Apple-HFS</t>
  </si>
  <si>
    <t>HttpSvr,Microsoft-HTTPAPI,Apple-HFS</t>
  </si>
  <si>
    <t>终端</t>
  </si>
  <si>
    <t>ssh(22)
tcpwrapped(64443)</t>
  </si>
  <si>
    <t>系统2</t>
  </si>
  <si>
    <t>http(80)
ssl(443,4480,23031,23020)
ssh(22)
iscsi(3260)</t>
  </si>
  <si>
    <t>Apache httpd</t>
  </si>
  <si>
    <t>Sangfor-Enterprise Cloud Platform(Apache httpd)</t>
  </si>
  <si>
    <t>Sangfor Technologies Inc.(Apache Software Foundation)</t>
  </si>
  <si>
    <t xml:space="preserve"> </t>
  </si>
  <si>
    <t>系统3</t>
  </si>
  <si>
    <t>unknown(17561)
ms-wbt-server(3389)
tcpwrapped(53000)
afs3-callback(7001)
soap(52000)
wap-wsp(9200)</t>
  </si>
  <si>
    <t>告警名称</t>
  </si>
  <si>
    <t>告警优先级</t>
  </si>
  <si>
    <t>主机IP</t>
  </si>
  <si>
    <t>威胁类型</t>
  </si>
  <si>
    <t>告警状态</t>
  </si>
  <si>
    <t>告警ID</t>
  </si>
  <si>
    <t>服务组</t>
  </si>
  <si>
    <t>主机名称</t>
  </si>
  <si>
    <t>设备</t>
  </si>
  <si>
    <t>IOC</t>
  </si>
  <si>
    <t>告警标签</t>
  </si>
  <si>
    <t>首次触发时间</t>
  </si>
  <si>
    <t>最近触发时间</t>
  </si>
  <si>
    <t>处理人</t>
  </si>
  <si>
    <t>事件ID</t>
  </si>
  <si>
    <t>威胁等级</t>
  </si>
  <si>
    <t>失陷情况</t>
  </si>
  <si>
    <t>源IP</t>
  </si>
  <si>
    <t>目的IP</t>
  </si>
  <si>
    <t>XFF IP</t>
  </si>
  <si>
    <t>USECASE ID</t>
  </si>
  <si>
    <t>服务类型</t>
  </si>
  <si>
    <t>资产类别</t>
  </si>
  <si>
    <t>资产信息</t>
  </si>
  <si>
    <t>服务经理</t>
  </si>
  <si>
    <t>创建时间</t>
  </si>
  <si>
    <t>实际处理人</t>
  </si>
  <si>
    <t>同步状态</t>
  </si>
  <si>
    <t>场景标签</t>
  </si>
  <si>
    <t>攻击结果</t>
  </si>
  <si>
    <t>访问方向</t>
  </si>
  <si>
    <t>确定性等级</t>
  </si>
  <si>
    <t>审核时长</t>
  </si>
  <si>
    <t>操作时间</t>
  </si>
  <si>
    <t>任务名称</t>
  </si>
  <si>
    <t>sip联动状态</t>
  </si>
  <si>
    <t>源端口</t>
  </si>
  <si>
    <t>目的端口</t>
  </si>
  <si>
    <t>协议</t>
  </si>
  <si>
    <t>审核id</t>
  </si>
  <si>
    <t>拦截情况</t>
  </si>
  <si>
    <t>Sla</t>
  </si>
  <si>
    <t>审核到期时间</t>
  </si>
  <si>
    <t>可信度</t>
  </si>
  <si>
    <t>驳回事件ID</t>
  </si>
  <si>
    <t>驳回人</t>
  </si>
  <si>
    <t>驳回原因</t>
  </si>
  <si>
    <t>主机遭受web攻击</t>
  </si>
  <si>
    <t>中</t>
  </si>
  <si>
    <t>外部威胁&gt;web攻击</t>
  </si>
  <si>
    <t>已忽略（自动）</t>
  </si>
  <si>
    <t>69b935d28ccf7e4eb1e4b944</t>
  </si>
  <si>
    <t>价值交付三组</t>
  </si>
  <si>
    <t>sta</t>
  </si>
  <si>
    <t>oa.haiheangroup.com:88/emp/api/log/record</t>
  </si>
  <si>
    <t>自定义usecase、安全分析中台引擎</t>
  </si>
  <si>
    <t>李想</t>
  </si>
  <si>
    <t>T20240118201716341</t>
  </si>
  <si>
    <t>服务内 (7*24H)</t>
  </si>
  <si>
    <t>上海园区MSS资产&gt;泛微oa系统-应用服务器</t>
  </si>
  <si>
    <t>郭永斌</t>
  </si>
  <si>
    <t>正常</t>
  </si>
  <si>
    <t>失败</t>
  </si>
  <si>
    <t>外-内</t>
  </si>
  <si>
    <t>0天0时0分2秒</t>
  </si>
  <si>
    <t>http</t>
  </si>
  <si>
    <t>全部未知</t>
  </si>
  <si>
    <t>30min</t>
  </si>
  <si>
    <t>高可信</t>
  </si>
  <si>
    <t>泛微OA后台管理页面暴露在公网</t>
  </si>
  <si>
    <t>低</t>
  </si>
  <si>
    <t>脆弱性&gt;敏感页面暴露</t>
  </si>
  <si>
    <t>69b91cf4741d8d2486b94e68</t>
  </si>
  <si>
    <t>oa.haiheangroup.com:8788/api/hrm/login/checkLogin</t>
  </si>
  <si>
    <t>脆弱性、安全分析中台引擎</t>
  </si>
  <si>
    <t>姚金鑫</t>
  </si>
  <si>
    <t>T20221108090812259</t>
  </si>
  <si>
    <t>MSSP</t>
  </si>
  <si>
    <t>成功</t>
  </si>
  <si>
    <t>0天0时0分1秒</t>
  </si>
  <si>
    <t>54470</t>
  </si>
  <si>
    <t>8788</t>
  </si>
  <si>
    <t>67f76f1630da8824bbe523c5</t>
  </si>
  <si>
    <t>中可信</t>
  </si>
  <si>
    <t>弱口令登录成功</t>
  </si>
  <si>
    <t>脆弱性&gt;账号安全</t>
  </si>
  <si>
    <t>69b80810444e5db4916e0a76</t>
  </si>
  <si>
    <t>安全分析中台引擎</t>
  </si>
  <si>
    <t>T20240625103030429</t>
  </si>
  <si>
    <t>665f1228c5c67f4645b0a64b</t>
  </si>
  <si>
    <t>69b91b6553b3105a30007dec</t>
  </si>
  <si>
    <t>af</t>
  </si>
  <si>
    <t>oa.haiheangroup.com:8788/api/systemViewLog/home/InsertSystemPageViewLog</t>
  </si>
  <si>
    <t>安宏祥</t>
  </si>
  <si>
    <t>0天0时0分3秒</t>
  </si>
  <si>
    <t>主机存在感染挖矿家族minepool</t>
  </si>
  <si>
    <t>内部威胁&gt;挖矿</t>
  </si>
  <si>
    <t>69b7b5e2a56cdc6fb96705fd</t>
  </si>
  <si>
    <t>XDR_af</t>
  </si>
  <si>
    <t>waterhole.io</t>
  </si>
  <si>
    <t>APEX-GPT引擎</t>
  </si>
  <si>
    <t>高</t>
  </si>
  <si>
    <t xml:space="preserve"> -</t>
  </si>
  <si>
    <t>8eae36450000</t>
  </si>
  <si>
    <t>天津园区MSS资产&gt;青岛办公pc或监控</t>
  </si>
  <si>
    <t>失陷</t>
  </si>
  <si>
    <t>内-外</t>
  </si>
  <si>
    <t>0天0时0分5秒</t>
  </si>
  <si>
    <t>51847</t>
  </si>
  <si>
    <t>53</t>
  </si>
  <si>
    <t>udp</t>
  </si>
  <si>
    <t>66ac46f31af7a614fd65393e</t>
  </si>
  <si>
    <t>69b7c941741d8d2486b92737</t>
  </si>
  <si>
    <t>62355</t>
  </si>
  <si>
    <t>69b8aab18ccf7e4eb1e4a655</t>
  </si>
  <si>
    <t>涂峰川</t>
  </si>
  <si>
    <t>69b91630a396910f1b778dc6</t>
  </si>
  <si>
    <t>69b9024944107df81566f917</t>
  </si>
  <si>
    <t>0天0时0分8秒</t>
  </si>
  <si>
    <t>69b90b8da0e97d17dfae9512</t>
  </si>
  <si>
    <t>0天0时0分10秒</t>
  </si>
  <si>
    <t>69b90ae9741d8d2486b94bf3</t>
  </si>
  <si>
    <t>69b90aa6b3f2e004b99c9a1d</t>
  </si>
  <si>
    <t>0天0时0分9秒</t>
  </si>
  <si>
    <t>69b90a547497cd0e21ae9886</t>
  </si>
  <si>
    <t>说明：
事件类型：一般威胁、重大威胁、一般事件、重大事件标签取平台导出的，补充类型名称即可；
设备离线类标签定义为业务连续性风险；
未公开威胁类标签定义为最新威胁。</t>
  </si>
  <si>
    <t>事件创建时间</t>
  </si>
  <si>
    <t>事件名称</t>
  </si>
  <si>
    <t>业务URL</t>
  </si>
  <si>
    <t>状态</t>
  </si>
  <si>
    <t>设备类型</t>
  </si>
  <si>
    <t>类型（二级场景）</t>
  </si>
  <si>
    <t>优先级</t>
  </si>
  <si>
    <t>处置建议</t>
  </si>
  <si>
    <t>未处置原因</t>
  </si>
  <si>
    <t>当前处理人</t>
  </si>
  <si>
    <t>事件标签</t>
  </si>
  <si>
    <t>事件描述</t>
  </si>
  <si>
    <t>最近更新时间</t>
  </si>
  <si>
    <t>组件检出时间</t>
  </si>
  <si>
    <t>专家研判时间</t>
  </si>
  <si>
    <t>事件遏制时间</t>
  </si>
  <si>
    <t>事件闭环时间</t>
  </si>
  <si>
    <t>影响范围</t>
  </si>
  <si>
    <t>根因分析</t>
  </si>
  <si>
    <t>危害</t>
  </si>
  <si>
    <t>外部反馈</t>
  </si>
  <si>
    <t>重新生成事件ID</t>
  </si>
  <si>
    <t>所属资产组</t>
  </si>
  <si>
    <t>受影响资产</t>
  </si>
  <si>
    <t>备注</t>
  </si>
  <si>
    <t>接受风险时间</t>
  </si>
  <si>
    <t>通告时间</t>
  </si>
  <si>
    <t>防护时间</t>
  </si>
  <si>
    <t>应急标签</t>
  </si>
  <si>
    <t>闭环时长</t>
  </si>
  <si>
    <t>通告状态</t>
  </si>
  <si>
    <t>实际通告时间</t>
  </si>
  <si>
    <t>资产内网外网</t>
  </si>
  <si>
    <t>识别时长</t>
  </si>
  <si>
    <t>响应时长</t>
  </si>
  <si>
    <t>遏制时长</t>
  </si>
  <si>
    <t>处置时长</t>
  </si>
  <si>
    <t>业务连续性风险</t>
  </si>
  <si>
    <t>设备离线</t>
  </si>
  <si>
    <t>EDR设备离线</t>
  </si>
  <si>
    <t>0.0.0.0</t>
  </si>
  <si>
    <t>已闭环</t>
  </si>
  <si>
    <t>未知</t>
  </si>
  <si>
    <t>设备离线，请及时处理</t>
  </si>
  <si>
    <t>设备已检测到上线，自动关闭</t>
  </si>
  <si>
    <t>XDR-STA设备离线</t>
  </si>
  <si>
    <t>XDR-STA</t>
  </si>
  <si>
    <t>谢华圣</t>
  </si>
  <si>
    <t>客户反馈满意</t>
  </si>
  <si>
    <t>弱口令已推送修改</t>
  </si>
  <si>
    <t>54天19时27分</t>
  </si>
  <si>
    <t>脆弱性-&gt;账号安全</t>
  </si>
  <si>
    <t>已通告</t>
  </si>
  <si>
    <t>应急工单-&gt;账号爆破</t>
  </si>
  <si>
    <t>主机存在暴力破解威胁</t>
  </si>
  <si>
    <t>账号爆破</t>
  </si>
  <si>
    <t>检测到主机存在暴力破解威胁</t>
  </si>
  <si>
    <t>已推送服务群处置/确认，后续持续观察</t>
  </si>
  <si>
    <t>0天19时10分</t>
  </si>
  <si>
    <t>应急工单-&gt;扫描工具</t>
  </si>
  <si>
    <t>主机存在Nmap工具扫描</t>
  </si>
  <si>
    <t>Nmap是一款网络扫描工具。命中该规则表明攻击者使用Nmap向网络发起扫描</t>
  </si>
  <si>
    <t>外部威胁-&gt;web攻击</t>
  </si>
  <si>
    <t>web攻击</t>
  </si>
  <si>
    <t>感知提升：建议推送、自定义usecase、安全分析中台引擎</t>
  </si>
  <si>
    <t>None</t>
  </si>
  <si>
    <t>攻击失败，已封堵恶意地址</t>
  </si>
  <si>
    <t>0天1时34分</t>
  </si>
  <si>
    <t>安全分析中台引擎、感知提升：建议推送、自定义usecase</t>
  </si>
  <si>
    <t>攻击失败，恶意地址已被封堵</t>
  </si>
  <si>
    <t>0天1时44分</t>
  </si>
  <si>
    <t>外部威胁-&gt;漏洞利用攻击</t>
  </si>
  <si>
    <t>主机遭受漏洞利用攻击</t>
  </si>
  <si>
    <t>漏洞利用攻击</t>
  </si>
  <si>
    <t>主机存在感染黑客工具家族cobaltstrike</t>
  </si>
  <si>
    <t>Cobalt Strike是一款基于Java编写的全平台多方协同后渗透攻击框架，也称为CS。早期版本依赖Metasploit框架，Cobalt Strike 3.0之后则是作为单独的平台使用。其支持多种通信协议，包括http、https、dns、smb等，同时集成了提权、凭据导出、端口转发、端口扫描、横向移动、Socks代理、钓鱼攻击等功能，且支持丰富的扩展插件，几乎可以覆盖APT攻击链所需的各个技术环节。木马生成方面也涵盖了大多数的平台和攻击场景，包括 PE木马、ELF木马、网页木马、Office宏病毒木马等</t>
  </si>
  <si>
    <t>关联告警已处置，自动变更状态</t>
  </si>
  <si>
    <t>0天0时1分</t>
  </si>
  <si>
    <t>贺红萍</t>
  </si>
  <si>
    <t>未公开威胁-&gt;威胁狩猎</t>
  </si>
  <si>
    <t>勒索预防情报速递_20260206</t>
  </si>
  <si>
    <t>威胁狩猎</t>
  </si>
  <si>
    <t>紧急</t>
  </si>
  <si>
    <t>【勒索预防情报速递_20260206】 
尊敬的用户，您好，近日深信服云端安全团队，发现勒索组织面向公网发起批量扫描行为，为防止服务器被勒索加密，建议针对以下IOC在出口防火墙进行封堵处置。
【IOC详情】
160.124.152[.]167
160.124.152[.]158
156.234.94[.]193
38.173.16[.]90
156.234.209[.]38
160.124.146[.]254
156.234.33[.]66
107.149.167[.]107
156.234.33[.]72
23.235.179[.]100
43.243.191[.]225</t>
  </si>
  <si>
    <t>2026热点事件</t>
  </si>
  <si>
    <t>2026-02-28 15:03:33</t>
  </si>
  <si>
    <t>1天23时22分</t>
  </si>
  <si>
    <t>未公开威胁-&gt;半月刊安全通告</t>
  </si>
  <si>
    <t>1月份（下半月刊）安全通告_2026</t>
  </si>
  <si>
    <t>半月刊安全通告</t>
  </si>
  <si>
    <t>通告涵盖1月份（下半月刊）新增安全漏洞和安全事件的分析等。整理的具体内容包含以下几个方面：
一、 网络安全政策法律动态
（一）国内政策热点
1、国务院办公厅印发《政务移动互联网应用程序规范化管理办法》
2、2026年度第一批网络安全国家标准需求发布
（二）国际政策热点
1、美国陆军部长计划在多个军事基地停用NIPRNet
2、欧盟启动全球CVE分配系统，强化数字主权        
3、欧盟委员会提议修订《网络安全法案》（《网络安全法案2.0》）        
4、爱尔兰拟立法为警方使用间谍软件确立法律基础        
二、安全热点时事资讯         
（一）国内安全事件        
1、入侵网站盗数据、跨境牟利触法网！两名犯罪嫌疑人被云南网警抓获        
2、工程师以技术手段窃取赌博网站184万余名中国公民个人信息        
3、B站涌现带毒软件传播新手段，供应链攻击威胁加剧        
（二） 国际安全事件        
1、美国某头部银行被植入键盘记录器，潜伏窃取20万登录凭证        
2、伊朗国家电视台的信号被劫持，播放反政府视频煽动暴乱        
3、比利时AZ Monica医院遭网络攻击，服务器被迫关闭，手术全部取消        
4、麦当劳印度公司遭勒索组织攻击，861GB核心运营与财务数据被窃取        
5、苹果第二大代工厂立讯精密疑遭勒索攻击，机密数据外泄        
6、耐克遭勒索组织攻击，产品开发、制造运营等1.4TB核心数据被窃取        
三、安全风险通告        
（一）Oracle WebLogic Server Proxy Plug-in身份认证绕过漏洞(CVE-2026-21962)        
（二）Microsoft Office 安全功能绕过漏洞(CVE-2026-21509)        
四、1月份CNVD漏洞收录情况        
（一） 漏洞分类统计        
（二） 漏洞被关注情况        
（三） 漏洞趋势        
附录：1月份重要漏洞信息汇总</t>
  </si>
  <si>
    <t>勒索预防情报速递_20260226</t>
  </si>
  <si>
    <t>【勒索预防情报速递_20260226】 
尊敬的用户，您好，近日深信服云端安全团队，发现勒索组织面向公网发起批量扫描行为，为防止服务器被勒索加密，建议针对以下IOC在出口防火墙进行封堵处置。
23.235.169[.]66
23.235.173[.]26
23.226.58[.]225
156.234.92[.]161
156.234.94[.]222
43.249.175[.]66
43.249.172[.]97
156.234.94[.]219
23.235.163[.]205
156.234.94[.]210
156.234.56[.]34
23.235.172[.]2
156.234.254[.]135
156.234.121[.]161
23.235.172[.]24
23.235.182[.]100
23.235.163[.]33
156.234.94[.]201
156.234.247[.]110
23.226.52[.]135
103.37.2[.]10
23.226.52[.]130
156.234.21[.]196</t>
  </si>
  <si>
    <t>2月份（月刊）安全通告_2026</t>
  </si>
  <si>
    <t>通告涵盖2月份（月刊）新增安全漏洞和安全事件的分析等。整理的具体内容包含以下几个方面：
一、 网络安全政策法律动态        
（一）国内政策热点
1、工信部等八部门联合印发《汽车数据出境安全指引（2026版）》
2、网安标委下达7项网络安全推荐性国家标准计划
3、网安标委发布《网络安全标准实践指南——网络数据标签标识技术要求》
4、3项网络安全国家标准获批发布
（二）国际政策热点
1、印度发布《军事量子任务政策框架》        
2、法国发布《国家网络安全战略（2026-2030）》        
3、白宫网络总监办公室制定AI安全政策框架
二、安全热点时事资讯 
（一）国内安全事件
1、内容安全失守代价惨重：快手平台因未处置违法信息被罚1.19亿元
2、第三方平台违规存储，导致12306账号内惊现“陌生乘客”且无法删除
3、重庆某企业未履行网络安全保护义务，企业负责人被约谈
4、滥用技术参与黑产犯罪的警示：三名大厂高薪员工兼职破解系统被抓
（二） 国际安全事件
1、网络武器库泄露启示录：Exploit Pack事件敲响企业供应链安全警钟
2、因索要赎金遭拒，黑客组织公开哈佛、宾大百万条窃取的个人信息
3、Step Finance 称高管设备遭入侵，致 4000 万美元加密货币被盗
4、支付命脉遭掐断：BridgePay勒索攻击致全美数千商户业务瘫痪        
5、六百万用户数据遭窃：荷兰运营商Odido数据泄露事件剖析
6、AI代理成新攻击面：OpenClaw框架遭大规模利用，超三万实例沦陷
7、支付页面遭前端劫持：某全球零售巨头电商遭遇“二次下单”攻击
三、安全风险通告
（一）n8n 表达式沙箱逃逸导致远程代码执行漏洞(CVE-2026-25049)
四、微软安全通告
（一） 漏洞概要        
（二） 漏洞数据分析
（三） 重要漏洞分析
五、2月份CNVD漏洞收录情况
附录：2月份重要漏洞信息汇总</t>
  </si>
  <si>
    <t>2026-03-05 10:29:09</t>
  </si>
  <si>
    <t>1天8时32分</t>
  </si>
  <si>
    <t>内部威胁-&gt;异常操作</t>
  </si>
  <si>
    <t>主机存在SQL server数据库xp_dirtree外带数据攻击</t>
  </si>
  <si>
    <t>异常操作</t>
  </si>
  <si>
    <t>检测到SQL server数据库尝试进行外带数据攻击</t>
  </si>
  <si>
    <t>已推送处置确认，后续继续观察</t>
  </si>
  <si>
    <t>0天1时15分</t>
  </si>
  <si>
    <t>OpenClaw 安全性风险全链路分析及提示</t>
  </si>
  <si>
    <t>【深信服-紧急事件通告】 
OpenClaw 安全性风险全链路分析及提示
【OpenClaw 介绍】
OpenClaw（前身为 Clawdbot、Moltbot）是 2025 年 11 月上线的开源 AI Agent 框架，该项目被开发者定义为“真正可以执行任务的 AI”，以惊人速度成为 GitHub 历史上增长最快的现象级项目之一，上线以来累计超过 200,000 颗星。然而，其爆炸式增长暴露出严重的安全问题，漏洞数量之多、影响之广，在 AI 工具领域尚属罕见。
【OpenClaw 漏洞风险】
随着 OpenClaw 的广泛部署，一系列安全漏洞被陆续发现并分配了 CVE 编号。
已披露漏洞统计：
1、总计80余个CVE漏洞：截至2026年3月初，已披露80余个OpenClaw相关CVE漏洞
2、3个存在公开利用代码：可实现远程代码执行
3、修复进度：截至2026年2月26日发布的v2026.2.26版本，已修复超过40个漏洞
【加固建议】
OpenClaw可访问用户文件系统、执行Shell命令、调用各类第三方服务凭据，一旦被攻击者控制，将导致用户数字权限完全泄露。在企业环境中，单个被入侵实例可成为内网横向移动跳板，引发核心数据窃取、关键系统受控等严重安全事件，对于个人用户来说，隐私信息存在被窃取风险。
对企业用户的建议：
1、紧急处置与基础防护
（一）漏洞闭环与凭据管理
（二）网络层面防护
（三）认证与权限管控
2、长效安全管控
（一）供应链与插件管理
（二）监控与审计机制
（三）企业政策与流程管控</t>
  </si>
  <si>
    <t>2026-03-17 10:42:17</t>
  </si>
  <si>
    <t>6天18时22分</t>
  </si>
  <si>
    <t>未公开威胁-&gt;微软补丁日安全通告</t>
  </si>
  <si>
    <t>微软补丁日安全通告|3月份_2026</t>
  </si>
  <si>
    <t>微软补丁日安全通告</t>
  </si>
  <si>
    <t>【漏洞详情】
【SQL Server特权提升漏洞 CVE-2026-21262】
Microsoft SQL Server是微软推出的关系型数据库管理系统，为企业级应用提供数据存储、查询、事务处理与权限管理等核心服务，广泛应用于各类业务系统、后台服务与数据平台，负责处理结构化数据、保障数据一致性与访问安全。
其中存在权限提升漏洞，攻击者可以利用该漏洞在目标系统获取更高权限。经过评估，该漏洞危害较大，我们建议用户及时更新微软安全补丁。
【.NET 拒绝服务漏洞 CVE-2026-26127】
.NET 是微软推出的跨平台开发框架，为各类应用提供统一的运行时环境、基础类库与安全机制，广泛用于构建 Web 服务、桌面应用与云原生程序，保障应用的兼容性、安全性与运行效率。
其中存在拒绝服务漏洞，攻击者可利用该漏洞通过网络向基于 .NET 的应用发送特制请求，导致应用崩溃、服务不可用。经过评估，该漏洞危害较大，我们建议用户及时更新微软安全补丁。
官方解决方案：
微软官方已更新受影响软件的安全补丁，用户可根据不同系统版本下载安装对应的安全补丁，安全更新链接如下：
1、https://msrc.microsoft.com/update-guide/vulnerability/CVE-2026-21262
2、https://msrc.microsoft.com/update-guide/vulnerability/CVE-2026-26127</t>
  </si>
  <si>
    <t>2026-03-13 14:55:16</t>
  </si>
  <si>
    <t>1天1时6分</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</si>
</sst>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h:mm;@"/>
    <numFmt numFmtId="177" formatCode="yyyy/m/d;@"/>
    <numFmt numFmtId="178" formatCode="h:mm:ss;@"/>
    <numFmt numFmtId="179" formatCode="0.00_ "/>
    <numFmt numFmtId="180" formatCode="0\.0,&quot;万&quot;"/>
  </numFmts>
  <fonts count="54">
    <font>
      <sz val="11"/>
      <color theme="1"/>
      <name val="宋体"/>
      <charset val="134"/>
      <scheme val="minor"/>
    </font>
    <font>
      <sz val="10"/>
      <color rgb="FF14161A"/>
      <name val="宋体"/>
      <charset val="134"/>
      <scheme val="minor"/>
    </font>
    <font>
      <sz val="11"/>
      <color rgb="FFFF0000"/>
      <name val="宋体"/>
      <charset val="134"/>
      <scheme val="minor"/>
    </font>
    <font>
      <b/>
      <sz val="12"/>
      <color rgb="FFFFFFFF"/>
      <name val="宋体"/>
      <charset val="134"/>
      <scheme val="minor"/>
    </font>
    <font>
      <sz val="10"/>
      <color theme="1"/>
      <name val="宋体"/>
      <charset val="134"/>
      <scheme val="minor"/>
    </font>
    <font>
      <sz val="11"/>
      <color rgb="FFFFFFFF"/>
      <name val="宋体"/>
      <charset val="134"/>
      <scheme val="minor"/>
    </font>
    <font>
      <b/>
      <sz val="10"/>
      <color indexed="8"/>
      <name val="宋体"/>
      <charset val="134"/>
      <scheme val="minor"/>
    </font>
    <font>
      <b/>
      <sz val="10"/>
      <color rgb="FFFF0000"/>
      <name val="宋体"/>
      <charset val="134"/>
      <scheme val="minor"/>
    </font>
    <font>
      <sz val="10"/>
      <name val="Arial"/>
      <charset val="134"/>
    </font>
    <font>
      <sz val="10"/>
      <name val="宋体-简"/>
      <charset val="134"/>
    </font>
    <font>
      <b/>
      <sz val="10"/>
      <color rgb="FF000000"/>
      <name val="微软雅黑"/>
      <charset val="134"/>
    </font>
    <font>
      <sz val="10"/>
      <color rgb="FF000000"/>
      <name val="微软雅黑"/>
      <charset val="134"/>
    </font>
    <font>
      <b/>
      <sz val="16"/>
      <color theme="0"/>
      <name val="宋体"/>
      <charset val="134"/>
    </font>
    <font>
      <b/>
      <sz val="12"/>
      <color theme="0"/>
      <name val="宋体"/>
      <charset val="134"/>
    </font>
    <font>
      <b/>
      <sz val="12"/>
      <color rgb="FF000000"/>
      <name val="宋体"/>
      <charset val="134"/>
    </font>
    <font>
      <b/>
      <sz val="11"/>
      <color theme="1"/>
      <name val="宋体"/>
      <charset val="134"/>
      <scheme val="minor"/>
    </font>
    <font>
      <b/>
      <sz val="12"/>
      <name val="宋体"/>
      <charset val="134"/>
      <scheme val="minor"/>
    </font>
    <font>
      <b/>
      <sz val="12"/>
      <color rgb="FFC00000"/>
      <name val="宋体"/>
      <charset val="134"/>
      <scheme val="minor"/>
    </font>
    <font>
      <b/>
      <sz val="12"/>
      <color rgb="FFFF0000"/>
      <name val="宋体"/>
      <charset val="134"/>
      <scheme val="minor"/>
    </font>
    <font>
      <b/>
      <sz val="12"/>
      <color rgb="FFFFC000"/>
      <name val="宋体"/>
      <charset val="134"/>
      <scheme val="minor"/>
    </font>
    <font>
      <b/>
      <sz val="12"/>
      <color theme="5" tint="0.4"/>
      <name val="宋体"/>
      <charset val="134"/>
      <scheme val="minor"/>
    </font>
    <font>
      <b/>
      <sz val="12"/>
      <color rgb="FF0070C0"/>
      <name val="宋体"/>
      <charset val="134"/>
      <scheme val="minor"/>
    </font>
    <font>
      <sz val="11"/>
      <color theme="1"/>
      <name val="微软雅黑"/>
      <charset val="134"/>
    </font>
    <font>
      <sz val="9"/>
      <color rgb="FF000000"/>
      <name val="微软雅黑"/>
      <charset val="134"/>
    </font>
    <font>
      <sz val="11"/>
      <color theme="0"/>
      <name val="宋体"/>
      <charset val="134"/>
      <scheme val="minor"/>
    </font>
    <font>
      <sz val="8"/>
      <color theme="1"/>
      <name val="宋体"/>
      <charset val="134"/>
      <scheme val="minor"/>
    </font>
    <font>
      <sz val="10"/>
      <color rgb="FF000000"/>
      <name val="宋体"/>
      <charset val="134"/>
      <scheme val="minor"/>
    </font>
    <font>
      <sz val="15"/>
      <color rgb="FFE1F9FE"/>
      <name val="OPPOSans-R"/>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宋体"/>
      <charset val="134"/>
    </font>
    <font>
      <b/>
      <sz val="11"/>
      <color rgb="FFC00000"/>
      <name val="宋体"/>
      <charset val="134"/>
      <scheme val="minor"/>
    </font>
    <font>
      <sz val="11"/>
      <color rgb="FFC00000"/>
      <name val="宋体"/>
      <charset val="134"/>
      <scheme val="minor"/>
    </font>
    <font>
      <b/>
      <sz val="11"/>
      <color rgb="FFFF0000"/>
      <name val="宋体"/>
      <charset val="134"/>
      <scheme val="minor"/>
    </font>
    <font>
      <b/>
      <sz val="11"/>
      <color rgb="FFFFC000"/>
      <name val="宋体"/>
      <charset val="134"/>
      <scheme val="minor"/>
    </font>
    <font>
      <sz val="11"/>
      <color rgb="FFFFC000"/>
      <name val="宋体"/>
      <charset val="134"/>
      <scheme val="minor"/>
    </font>
    <font>
      <sz val="10"/>
      <name val="宋体"/>
      <charset val="134"/>
    </font>
  </fonts>
  <fills count="51">
    <fill>
      <patternFill patternType="none"/>
    </fill>
    <fill>
      <patternFill patternType="gray125"/>
    </fill>
    <fill>
      <patternFill patternType="solid">
        <fgColor rgb="FFDCE6F1"/>
        <bgColor indexed="64"/>
      </patternFill>
    </fill>
    <fill>
      <patternFill patternType="solid">
        <fgColor rgb="FF1F497D"/>
        <bgColor indexed="64"/>
      </patternFill>
    </fill>
    <fill>
      <patternFill patternType="solid">
        <fgColor rgb="FF1F9940"/>
        <bgColor indexed="64"/>
      </patternFill>
    </fill>
    <fill>
      <patternFill patternType="solid">
        <fgColor rgb="FFE65050"/>
        <bgColor indexed="64"/>
      </patternFill>
    </fill>
    <fill>
      <patternFill patternType="solid">
        <fgColor rgb="FFFA830C"/>
        <bgColor indexed="64"/>
      </patternFill>
    </fill>
    <fill>
      <patternFill patternType="solid">
        <fgColor rgb="FF365FD9"/>
        <bgColor indexed="64"/>
      </patternFill>
    </fill>
    <fill>
      <patternFill patternType="solid">
        <fgColor rgb="FF992E2E"/>
        <bgColor indexed="64"/>
      </patternFill>
    </fill>
    <fill>
      <patternFill patternType="solid">
        <fgColor rgb="FF0066CC"/>
        <bgColor indexed="64"/>
      </patternFill>
    </fill>
    <fill>
      <patternFill patternType="solid">
        <fgColor theme="7" tint="0.8"/>
        <bgColor indexed="64"/>
      </patternFill>
    </fill>
    <fill>
      <patternFill patternType="solid">
        <fgColor theme="9" tint="0.8"/>
        <bgColor indexed="64"/>
      </patternFill>
    </fill>
    <fill>
      <patternFill patternType="solid">
        <fgColor rgb="FFBDCFE7"/>
        <bgColor indexed="64"/>
      </patternFill>
    </fill>
    <fill>
      <patternFill patternType="solid">
        <fgColor theme="4" tint="0.799951170384838"/>
        <bgColor indexed="64"/>
      </patternFill>
    </fill>
    <fill>
      <patternFill patternType="solid">
        <fgColor theme="4" tint="-0.249977111117893"/>
        <bgColor indexed="64"/>
      </patternFill>
    </fill>
    <fill>
      <patternFill patternType="solid">
        <fgColor theme="0" tint="-0.35"/>
        <bgColor indexed="64"/>
      </patternFill>
    </fill>
    <fill>
      <patternFill patternType="solid">
        <fgColor rgb="FFFFFF00"/>
        <bgColor indexed="64"/>
      </patternFill>
    </fill>
    <fill>
      <patternFill patternType="solid">
        <fgColor theme="4"/>
        <bgColor indexed="64"/>
      </patternFill>
    </fill>
    <fill>
      <patternFill patternType="solid">
        <fgColor theme="0"/>
        <bgColor indexed="64"/>
      </patternFill>
    </fill>
    <fill>
      <patternFill patternType="solid">
        <fgColor theme="8" tint="0.8"/>
        <bgColor indexed="64"/>
      </patternFill>
    </fill>
    <fill>
      <patternFill patternType="solid">
        <fgColor theme="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medium">
        <color rgb="FF00B050"/>
      </left>
      <right style="dotted">
        <color rgb="FF00B050"/>
      </right>
      <top style="medium">
        <color rgb="FF00B050"/>
      </top>
      <bottom style="dotted">
        <color rgb="FF00B050"/>
      </bottom>
      <diagonal/>
    </border>
    <border>
      <left style="dotted">
        <color rgb="FF00B050"/>
      </left>
      <right style="dotted">
        <color rgb="FF00B050"/>
      </right>
      <top style="medium">
        <color rgb="FF00B050"/>
      </top>
      <bottom style="dotted">
        <color rgb="FF00B050"/>
      </bottom>
      <diagonal/>
    </border>
    <border>
      <left style="dotted">
        <color rgb="FF00B050"/>
      </left>
      <right style="medium">
        <color rgb="FF00B050"/>
      </right>
      <top style="medium">
        <color rgb="FF00B050"/>
      </top>
      <bottom style="dotted">
        <color rgb="FF00B050"/>
      </bottom>
      <diagonal/>
    </border>
    <border>
      <left style="medium">
        <color rgb="FF00B050"/>
      </left>
      <right style="dotted">
        <color rgb="FF00B050"/>
      </right>
      <top style="dotted">
        <color rgb="FF00B050"/>
      </top>
      <bottom style="dotted">
        <color rgb="FF00B050"/>
      </bottom>
      <diagonal/>
    </border>
    <border>
      <left style="dotted">
        <color rgb="FF00B050"/>
      </left>
      <right style="dotted">
        <color rgb="FF00B050"/>
      </right>
      <top style="dotted">
        <color rgb="FF00B050"/>
      </top>
      <bottom style="dotted">
        <color rgb="FF00B050"/>
      </bottom>
      <diagonal/>
    </border>
    <border>
      <left style="dotted">
        <color rgb="FF00B050"/>
      </left>
      <right style="medium">
        <color rgb="FF00B050"/>
      </right>
      <top style="dotted">
        <color rgb="FF00B050"/>
      </top>
      <bottom style="dotted">
        <color rgb="FF00B050"/>
      </bottom>
      <diagonal/>
    </border>
    <border>
      <left style="medium">
        <color rgb="FF00B050"/>
      </left>
      <right style="dotted">
        <color rgb="FF00B050"/>
      </right>
      <top style="dotted">
        <color rgb="FF00B050"/>
      </top>
      <bottom/>
      <diagonal/>
    </border>
    <border>
      <left style="medium">
        <color rgb="FF00B050"/>
      </left>
      <right style="dotted">
        <color rgb="FF00B050"/>
      </right>
      <top/>
      <bottom/>
      <diagonal/>
    </border>
    <border>
      <left style="medium">
        <color rgb="FF00B050"/>
      </left>
      <right style="dotted">
        <color rgb="FF00B050"/>
      </right>
      <top/>
      <bottom style="dotted">
        <color rgb="FF00B050"/>
      </bottom>
      <diagonal/>
    </border>
    <border>
      <left style="dotted">
        <color rgb="FF00B050"/>
      </left>
      <right style="dotted">
        <color rgb="FF00B050"/>
      </right>
      <top style="dotted">
        <color rgb="FF00B050"/>
      </top>
      <bottom/>
      <diagonal/>
    </border>
    <border>
      <left style="dotted">
        <color rgb="FF00B050"/>
      </left>
      <right style="dotted">
        <color rgb="FF00B050"/>
      </right>
      <top/>
      <bottom style="dotted">
        <color rgb="FF00B050"/>
      </bottom>
      <diagonal/>
    </border>
    <border>
      <left style="dotted">
        <color rgb="FF00B050"/>
      </left>
      <right style="medium">
        <color rgb="FF00B050"/>
      </right>
      <top style="dotted">
        <color rgb="FF00B050"/>
      </top>
      <bottom/>
      <diagonal/>
    </border>
    <border>
      <left style="medium">
        <color rgb="FF00B050"/>
      </left>
      <right style="dotted">
        <color rgb="FF00B050"/>
      </right>
      <top style="dotted">
        <color rgb="FF00B050"/>
      </top>
      <bottom style="medium">
        <color rgb="FF00B050"/>
      </bottom>
      <diagonal/>
    </border>
    <border>
      <left style="dotted">
        <color rgb="FF00B050"/>
      </left>
      <right style="dotted">
        <color rgb="FF00B050"/>
      </right>
      <top style="dotted">
        <color rgb="FF00B050"/>
      </top>
      <bottom style="medium">
        <color rgb="FF00B050"/>
      </bottom>
      <diagonal/>
    </border>
    <border>
      <left style="dotted">
        <color rgb="FF00B050"/>
      </left>
      <right style="medium">
        <color rgb="FF00B050"/>
      </right>
      <top style="dotted">
        <color rgb="FF00B050"/>
      </top>
      <bottom style="medium">
        <color rgb="FF00B050"/>
      </bottom>
      <diagonal/>
    </border>
    <border>
      <left style="medium">
        <color rgb="FF00B050"/>
      </left>
      <right/>
      <top/>
      <bottom/>
      <diagonal/>
    </border>
    <border>
      <left style="dotted">
        <color rgb="FF00B050"/>
      </left>
      <right/>
      <top/>
      <bottom style="dotted">
        <color rgb="FF00B050"/>
      </bottom>
      <diagonal/>
    </border>
    <border>
      <left/>
      <right/>
      <top/>
      <bottom style="dotted">
        <color rgb="FF00B050"/>
      </bottom>
      <diagonal/>
    </border>
    <border>
      <left/>
      <right style="dotted">
        <color rgb="FF00B050"/>
      </right>
      <top/>
      <bottom style="dotted">
        <color rgb="FF00B050"/>
      </bottom>
      <diagonal/>
    </border>
    <border>
      <left style="dotted">
        <color rgb="FF00B050"/>
      </left>
      <right style="medium">
        <color rgb="FF00B050"/>
      </right>
      <top/>
      <bottom style="dotted">
        <color rgb="FF00B050"/>
      </bottom>
      <diagonal/>
    </border>
    <border>
      <left style="dotted">
        <color rgb="FF00B050"/>
      </left>
      <right/>
      <top style="dotted">
        <color rgb="FF00B050"/>
      </top>
      <bottom style="dotted">
        <color rgb="FF00B050"/>
      </bottom>
      <diagonal/>
    </border>
    <border>
      <left/>
      <right/>
      <top style="dotted">
        <color rgb="FF00B050"/>
      </top>
      <bottom style="dotted">
        <color rgb="FF00B050"/>
      </bottom>
      <diagonal/>
    </border>
    <border>
      <left/>
      <right style="dotted">
        <color rgb="FF00B050"/>
      </right>
      <top style="dotted">
        <color rgb="FF00B050"/>
      </top>
      <bottom style="dotted">
        <color rgb="FF00B050"/>
      </bottom>
      <diagonal/>
    </border>
    <border>
      <left style="dotted">
        <color rgb="FF00B050"/>
      </left>
      <right/>
      <top style="dotted">
        <color rgb="FF00B050"/>
      </top>
      <bottom style="medium">
        <color rgb="FF00B050"/>
      </bottom>
      <diagonal/>
    </border>
    <border>
      <left/>
      <right/>
      <top style="dotted">
        <color rgb="FF00B050"/>
      </top>
      <bottom style="medium">
        <color rgb="FF00B050"/>
      </bottom>
      <diagonal/>
    </border>
    <border>
      <left/>
      <right style="dotted">
        <color rgb="FF00B050"/>
      </right>
      <top style="dotted">
        <color rgb="FF00B050"/>
      </top>
      <bottom style="medium">
        <color rgb="FF00B050"/>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right style="thin">
        <color auto="1"/>
      </right>
      <top/>
      <bottom/>
      <diagonal/>
    </border>
    <border>
      <left style="thin">
        <color auto="1"/>
      </left>
      <right/>
      <top/>
      <bottom style="thin">
        <color auto="1"/>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21" borderId="44"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45" applyNumberFormat="0" applyFill="0" applyAlignment="0" applyProtection="0">
      <alignment vertical="center"/>
    </xf>
    <xf numFmtId="0" fontId="34" fillId="0" borderId="45" applyNumberFormat="0" applyFill="0" applyAlignment="0" applyProtection="0">
      <alignment vertical="center"/>
    </xf>
    <xf numFmtId="0" fontId="35" fillId="0" borderId="46" applyNumberFormat="0" applyFill="0" applyAlignment="0" applyProtection="0">
      <alignment vertical="center"/>
    </xf>
    <xf numFmtId="0" fontId="35" fillId="0" borderId="0" applyNumberFormat="0" applyFill="0" applyBorder="0" applyAlignment="0" applyProtection="0">
      <alignment vertical="center"/>
    </xf>
    <xf numFmtId="0" fontId="36" fillId="22" borderId="47" applyNumberFormat="0" applyAlignment="0" applyProtection="0">
      <alignment vertical="center"/>
    </xf>
    <xf numFmtId="0" fontId="37" fillId="23" borderId="48" applyNumberFormat="0" applyAlignment="0" applyProtection="0">
      <alignment vertical="center"/>
    </xf>
    <xf numFmtId="0" fontId="38" fillId="23" borderId="47" applyNumberFormat="0" applyAlignment="0" applyProtection="0">
      <alignment vertical="center"/>
    </xf>
    <xf numFmtId="0" fontId="39" fillId="24" borderId="49" applyNumberFormat="0" applyAlignment="0" applyProtection="0">
      <alignment vertical="center"/>
    </xf>
    <xf numFmtId="0" fontId="40" fillId="0" borderId="50" applyNumberFormat="0" applyFill="0" applyAlignment="0" applyProtection="0">
      <alignment vertical="center"/>
    </xf>
    <xf numFmtId="0" fontId="41" fillId="0" borderId="51" applyNumberFormat="0" applyFill="0" applyAlignment="0" applyProtection="0">
      <alignment vertical="center"/>
    </xf>
    <xf numFmtId="0" fontId="42" fillId="25" borderId="0" applyNumberFormat="0" applyBorder="0" applyAlignment="0" applyProtection="0">
      <alignment vertical="center"/>
    </xf>
    <xf numFmtId="0" fontId="43" fillId="26" borderId="0" applyNumberFormat="0" applyBorder="0" applyAlignment="0" applyProtection="0">
      <alignment vertical="center"/>
    </xf>
    <xf numFmtId="0" fontId="44" fillId="27" borderId="0" applyNumberFormat="0" applyBorder="0" applyAlignment="0" applyProtection="0">
      <alignment vertical="center"/>
    </xf>
    <xf numFmtId="0" fontId="45" fillId="1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6" fillId="32" borderId="0" applyNumberFormat="0" applyBorder="0" applyAlignment="0" applyProtection="0">
      <alignment vertical="center"/>
    </xf>
    <xf numFmtId="0" fontId="46" fillId="33" borderId="0" applyNumberFormat="0" applyBorder="0" applyAlignment="0" applyProtection="0">
      <alignment vertical="center"/>
    </xf>
    <xf numFmtId="0" fontId="45" fillId="34" borderId="0" applyNumberFormat="0" applyBorder="0" applyAlignment="0" applyProtection="0">
      <alignment vertical="center"/>
    </xf>
    <xf numFmtId="0" fontId="45" fillId="35" borderId="0" applyNumberFormat="0" applyBorder="0" applyAlignment="0" applyProtection="0">
      <alignment vertical="center"/>
    </xf>
    <xf numFmtId="0" fontId="46" fillId="36" borderId="0" applyNumberFormat="0" applyBorder="0" applyAlignment="0" applyProtection="0">
      <alignment vertical="center"/>
    </xf>
    <xf numFmtId="0" fontId="46" fillId="37" borderId="0" applyNumberFormat="0" applyBorder="0" applyAlignment="0" applyProtection="0">
      <alignment vertical="center"/>
    </xf>
    <xf numFmtId="0" fontId="45" fillId="38" borderId="0" applyNumberFormat="0" applyBorder="0" applyAlignment="0" applyProtection="0">
      <alignment vertical="center"/>
    </xf>
    <xf numFmtId="0" fontId="45" fillId="39" borderId="0" applyNumberFormat="0" applyBorder="0" applyAlignment="0" applyProtection="0">
      <alignment vertical="center"/>
    </xf>
    <xf numFmtId="0" fontId="46" fillId="40" borderId="0" applyNumberFormat="0" applyBorder="0" applyAlignment="0" applyProtection="0">
      <alignment vertical="center"/>
    </xf>
    <xf numFmtId="0" fontId="46" fillId="41" borderId="0" applyNumberFormat="0" applyBorder="0" applyAlignment="0" applyProtection="0">
      <alignment vertical="center"/>
    </xf>
    <xf numFmtId="0" fontId="45" fillId="42" borderId="0" applyNumberFormat="0" applyBorder="0" applyAlignment="0" applyProtection="0">
      <alignment vertical="center"/>
    </xf>
    <xf numFmtId="0" fontId="45" fillId="43" borderId="0" applyNumberFormat="0" applyBorder="0" applyAlignment="0" applyProtection="0">
      <alignment vertical="center"/>
    </xf>
    <xf numFmtId="0" fontId="46" fillId="44" borderId="0" applyNumberFormat="0" applyBorder="0" applyAlignment="0" applyProtection="0">
      <alignment vertical="center"/>
    </xf>
    <xf numFmtId="0" fontId="46" fillId="45" borderId="0" applyNumberFormat="0" applyBorder="0" applyAlignment="0" applyProtection="0">
      <alignment vertical="center"/>
    </xf>
    <xf numFmtId="0" fontId="45" fillId="46" borderId="0" applyNumberFormat="0" applyBorder="0" applyAlignment="0" applyProtection="0">
      <alignment vertical="center"/>
    </xf>
    <xf numFmtId="0" fontId="45" fillId="47" borderId="0" applyNumberFormat="0" applyBorder="0" applyAlignment="0" applyProtection="0">
      <alignment vertical="center"/>
    </xf>
    <xf numFmtId="0" fontId="46" fillId="48" borderId="0" applyNumberFormat="0" applyBorder="0" applyAlignment="0" applyProtection="0">
      <alignment vertical="center"/>
    </xf>
    <xf numFmtId="0" fontId="46" fillId="49" borderId="0" applyNumberFormat="0" applyBorder="0" applyAlignment="0" applyProtection="0">
      <alignment vertical="center"/>
    </xf>
    <xf numFmtId="0" fontId="45" fillId="50" borderId="0" applyNumberFormat="0" applyBorder="0" applyAlignment="0" applyProtection="0">
      <alignment vertical="center"/>
    </xf>
  </cellStyleXfs>
  <cellXfs count="198">
    <xf numFmtId="0" fontId="0" fillId="0" borderId="0" xfId="0">
      <alignment vertical="center"/>
    </xf>
    <xf numFmtId="0" fontId="0" fillId="0" borderId="0" xfId="0" applyFont="1" applyFill="1" applyAlignment="1"/>
    <xf numFmtId="176" fontId="1" fillId="2" borderId="1" xfId="0" applyNumberFormat="1" applyFont="1" applyFill="1" applyBorder="1" applyAlignment="1">
      <alignment horizontal="left" vertical="center"/>
    </xf>
    <xf numFmtId="177" fontId="0" fillId="0" borderId="0" xfId="0" applyNumberFormat="1">
      <alignment vertical="center"/>
    </xf>
    <xf numFmtId="176" fontId="0" fillId="0" borderId="0" xfId="0" applyNumberFormat="1">
      <alignment vertical="center"/>
    </xf>
    <xf numFmtId="0" fontId="0" fillId="0" borderId="0" xfId="0" applyAlignment="1">
      <alignment horizontal="center" vertical="center"/>
    </xf>
    <xf numFmtId="0" fontId="2" fillId="0" borderId="0" xfId="0" applyFont="1" applyAlignment="1">
      <alignment horizontal="left" vertical="center" wrapText="1"/>
    </xf>
    <xf numFmtId="0" fontId="0" fillId="0" borderId="0" xfId="0" applyFill="1" applyAlignment="1">
      <alignment horizontal="left" vertical="center"/>
    </xf>
    <xf numFmtId="0" fontId="0" fillId="0" borderId="0" xfId="0" applyAlignment="1">
      <alignment horizontal="left" vertical="center"/>
    </xf>
    <xf numFmtId="0" fontId="0" fillId="0" borderId="0" xfId="0" applyFont="1" applyFill="1" applyAlignment="1">
      <alignment vertical="center"/>
    </xf>
    <xf numFmtId="176" fontId="1" fillId="2" borderId="2" xfId="0" applyNumberFormat="1" applyFont="1" applyFill="1" applyBorder="1" applyAlignment="1">
      <alignment horizontal="left" vertical="center"/>
    </xf>
    <xf numFmtId="0" fontId="3" fillId="3" borderId="2" xfId="0" applyFont="1" applyFill="1" applyBorder="1" applyAlignment="1">
      <alignment horizontal="left" vertical="center"/>
    </xf>
    <xf numFmtId="0" fontId="3" fillId="3" borderId="1" xfId="0" applyFont="1" applyFill="1" applyBorder="1" applyAlignment="1">
      <alignment horizontal="left" vertical="center"/>
    </xf>
    <xf numFmtId="0" fontId="1" fillId="2" borderId="1" xfId="0" applyFont="1" applyFill="1" applyBorder="1" applyAlignment="1">
      <alignment horizontal="left" vertical="center"/>
    </xf>
    <xf numFmtId="0" fontId="3"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8" borderId="1" xfId="0" applyFont="1" applyFill="1" applyBorder="1" applyAlignment="1">
      <alignment horizontal="center" vertical="center"/>
    </xf>
    <xf numFmtId="0" fontId="4" fillId="0" borderId="1" xfId="0" applyFont="1" applyFill="1" applyBorder="1" applyAlignment="1">
      <alignment horizontal="left" vertical="center"/>
    </xf>
    <xf numFmtId="22" fontId="1" fillId="2" borderId="1" xfId="0" applyNumberFormat="1" applyFont="1" applyFill="1" applyBorder="1" applyAlignment="1">
      <alignment horizontal="left" vertical="center"/>
    </xf>
    <xf numFmtId="0" fontId="0" fillId="0" borderId="0" xfId="0" applyFont="1" applyFill="1" applyAlignment="1">
      <alignment horizontal="center" vertical="center"/>
    </xf>
    <xf numFmtId="178" fontId="0" fillId="0" borderId="0" xfId="0" applyNumberFormat="1">
      <alignment vertical="center"/>
    </xf>
    <xf numFmtId="0" fontId="5" fillId="9" borderId="1" xfId="0" applyFont="1" applyFill="1" applyBorder="1" applyAlignment="1">
      <alignment horizontal="left" vertical="center"/>
    </xf>
    <xf numFmtId="0" fontId="0" fillId="0" borderId="1" xfId="0" applyFont="1" applyFill="1" applyBorder="1" applyAlignment="1">
      <alignment horizontal="left" vertical="center"/>
    </xf>
    <xf numFmtId="22" fontId="0" fillId="0" borderId="1" xfId="0" applyNumberFormat="1" applyFont="1" applyFill="1" applyBorder="1" applyAlignment="1">
      <alignment horizontal="left" vertical="center"/>
    </xf>
    <xf numFmtId="178" fontId="5" fillId="9" borderId="1" xfId="0" applyNumberFormat="1" applyFont="1" applyFill="1" applyBorder="1" applyAlignment="1">
      <alignment horizontal="left" vertical="center"/>
    </xf>
    <xf numFmtId="178" fontId="0" fillId="0" borderId="1" xfId="0" applyNumberFormat="1" applyFont="1" applyFill="1" applyBorder="1" applyAlignment="1">
      <alignment horizontal="left" vertical="center"/>
    </xf>
    <xf numFmtId="0" fontId="0" fillId="0" borderId="0" xfId="0" applyAlignment="1">
      <alignment wrapText="1"/>
    </xf>
    <xf numFmtId="0" fontId="0" fillId="0" borderId="0" xfId="0" applyAlignment="1"/>
    <xf numFmtId="0" fontId="0" fillId="10" borderId="0" xfId="0" applyFill="1">
      <alignment vertical="center"/>
    </xf>
    <xf numFmtId="0" fontId="0" fillId="10" borderId="0" xfId="0" applyFill="1" applyAlignment="1">
      <alignment horizontal="center" vertical="center"/>
    </xf>
    <xf numFmtId="0" fontId="6" fillId="11" borderId="3" xfId="0" applyFont="1" applyFill="1" applyBorder="1" applyAlignment="1">
      <alignment horizontal="center" vertical="center" wrapText="1"/>
    </xf>
    <xf numFmtId="0" fontId="7" fillId="11" borderId="3" xfId="0" applyFont="1" applyFill="1" applyBorder="1" applyAlignment="1">
      <alignment horizontal="center" vertical="center" wrapText="1"/>
    </xf>
    <xf numFmtId="0" fontId="7" fillId="10" borderId="3" xfId="0" applyFont="1" applyFill="1" applyBorder="1" applyAlignment="1">
      <alignment horizontal="center" vertical="center" wrapText="1"/>
    </xf>
    <xf numFmtId="0" fontId="8" fillId="0" borderId="0" xfId="0" applyFont="1" applyFill="1" applyAlignment="1">
      <alignment vertical="center"/>
    </xf>
    <xf numFmtId="0" fontId="9" fillId="0" borderId="0" xfId="0" applyFont="1" applyFill="1" applyAlignment="1">
      <alignment vertical="center"/>
    </xf>
    <xf numFmtId="0" fontId="8" fillId="10" borderId="0" xfId="0" applyFont="1" applyFill="1" applyAlignment="1">
      <alignment vertical="center"/>
    </xf>
    <xf numFmtId="0" fontId="8" fillId="0" borderId="0" xfId="0" applyFont="1" applyFill="1" applyAlignment="1">
      <alignment horizontal="center" vertical="center" wrapText="1"/>
    </xf>
    <xf numFmtId="0" fontId="8" fillId="0" borderId="0" xfId="0" applyFont="1" applyFill="1" applyAlignment="1"/>
    <xf numFmtId="0" fontId="6" fillId="10" borderId="3" xfId="0" applyFont="1" applyFill="1" applyBorder="1" applyAlignment="1">
      <alignment horizontal="center" vertical="center" wrapText="1"/>
    </xf>
    <xf numFmtId="49" fontId="6" fillId="11" borderId="3" xfId="0" applyNumberFormat="1" applyFont="1" applyFill="1" applyBorder="1" applyAlignment="1">
      <alignment horizontal="center" vertical="center" wrapText="1"/>
    </xf>
    <xf numFmtId="0" fontId="9" fillId="10" borderId="0" xfId="0" applyFont="1" applyFill="1" applyAlignment="1">
      <alignment horizontal="center" vertical="center" wrapText="1"/>
    </xf>
    <xf numFmtId="176" fontId="0" fillId="0" borderId="0" xfId="0" applyNumberFormat="1" applyAlignment="1">
      <alignment horizontal="center" vertical="center"/>
    </xf>
    <xf numFmtId="176" fontId="0" fillId="0" borderId="0" xfId="0" applyNumberFormat="1" applyAlignment="1">
      <alignment horizontal="center" vertical="center" wrapText="1"/>
    </xf>
    <xf numFmtId="0" fontId="10" fillId="12" borderId="3"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0" fillId="13" borderId="4" xfId="0" applyFill="1" applyBorder="1" applyAlignment="1">
      <alignment horizontal="left" vertical="center"/>
    </xf>
    <xf numFmtId="0" fontId="0" fillId="13" borderId="5" xfId="0" applyFill="1" applyBorder="1" applyAlignment="1">
      <alignment horizontal="left" vertical="center"/>
    </xf>
    <xf numFmtId="0" fontId="0" fillId="13" borderId="6" xfId="0" applyFill="1" applyBorder="1" applyAlignment="1">
      <alignment horizontal="lef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pplyAlignment="1">
      <alignment horizontal="center" vertical="center"/>
    </xf>
    <xf numFmtId="0" fontId="0" fillId="0" borderId="8" xfId="0" applyBorder="1" applyAlignment="1">
      <alignment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0" xfId="0" applyAlignment="1">
      <alignment vertical="center" wrapText="1"/>
    </xf>
    <xf numFmtId="0" fontId="0" fillId="0" borderId="13" xfId="0" applyBorder="1" applyAlignment="1">
      <alignment horizontal="left" vertical="center"/>
    </xf>
    <xf numFmtId="0" fontId="0" fillId="0" borderId="14" xfId="0" applyBorder="1" applyAlignment="1">
      <alignment horizontal="left" vertical="center"/>
    </xf>
    <xf numFmtId="0" fontId="0" fillId="0" borderId="8" xfId="0" applyBorder="1" applyAlignment="1">
      <alignment horizontal="left" vertical="center" wrapText="1"/>
    </xf>
    <xf numFmtId="0" fontId="0" fillId="0" borderId="13" xfId="0" applyBorder="1" applyAlignment="1">
      <alignment vertical="center" wrapText="1"/>
    </xf>
    <xf numFmtId="0" fontId="0" fillId="0" borderId="13" xfId="0" applyBorder="1">
      <alignment vertical="center"/>
    </xf>
    <xf numFmtId="0" fontId="0" fillId="0" borderId="15" xfId="0" applyBorder="1">
      <alignment vertical="center"/>
    </xf>
    <xf numFmtId="0" fontId="0" fillId="0" borderId="10" xfId="0" applyBorder="1">
      <alignment vertical="center"/>
    </xf>
    <xf numFmtId="0" fontId="0" fillId="0" borderId="16" xfId="0" applyBorder="1">
      <alignment vertical="center"/>
    </xf>
    <xf numFmtId="0" fontId="0" fillId="0" borderId="17" xfId="0" applyBorder="1">
      <alignment vertical="center"/>
    </xf>
    <xf numFmtId="0" fontId="0" fillId="0" borderId="17" xfId="0" applyBorder="1" applyAlignment="1">
      <alignment vertical="center" wrapText="1"/>
    </xf>
    <xf numFmtId="0" fontId="0" fillId="0" borderId="18" xfId="0" applyBorder="1">
      <alignment vertical="center"/>
    </xf>
    <xf numFmtId="0" fontId="12" fillId="14" borderId="19" xfId="0" applyFont="1" applyFill="1" applyBorder="1" applyAlignment="1">
      <alignment horizontal="center" vertical="center" wrapText="1"/>
    </xf>
    <xf numFmtId="0" fontId="12" fillId="14" borderId="0" xfId="0" applyFont="1" applyFill="1" applyAlignment="1">
      <alignment horizontal="center" vertical="center" wrapText="1"/>
    </xf>
    <xf numFmtId="0" fontId="13" fillId="14" borderId="19" xfId="0" applyFont="1" applyFill="1" applyBorder="1" applyAlignment="1">
      <alignment horizontal="left" vertical="center" wrapText="1"/>
    </xf>
    <xf numFmtId="0" fontId="13" fillId="14" borderId="0" xfId="0" applyFont="1" applyFill="1" applyAlignment="1">
      <alignment horizontal="left" vertical="center" wrapText="1"/>
    </xf>
    <xf numFmtId="0" fontId="13" fillId="14" borderId="12" xfId="0" applyFont="1" applyFill="1" applyBorder="1" applyAlignment="1">
      <alignment horizontal="left" vertical="center" wrapText="1"/>
    </xf>
    <xf numFmtId="0" fontId="13" fillId="14" borderId="14" xfId="0" applyFont="1" applyFill="1" applyBorder="1" applyAlignment="1">
      <alignment vertical="center" wrapText="1"/>
    </xf>
    <xf numFmtId="0" fontId="13" fillId="14" borderId="20" xfId="0" applyFont="1" applyFill="1" applyBorder="1" applyAlignment="1">
      <alignment vertical="center" wrapText="1"/>
    </xf>
    <xf numFmtId="0" fontId="13" fillId="14" borderId="20" xfId="0" applyFont="1" applyFill="1" applyBorder="1" applyAlignment="1">
      <alignment horizontal="center" vertical="center" wrapText="1"/>
    </xf>
    <xf numFmtId="0" fontId="13" fillId="14" borderId="21" xfId="0" applyFont="1" applyFill="1" applyBorder="1" applyAlignment="1">
      <alignment horizontal="center" vertical="center" wrapText="1"/>
    </xf>
    <xf numFmtId="0" fontId="13" fillId="14" borderId="22" xfId="0" applyFont="1" applyFill="1" applyBorder="1" applyAlignment="1">
      <alignment horizontal="center" vertical="center" wrapText="1"/>
    </xf>
    <xf numFmtId="0" fontId="13" fillId="14" borderId="23" xfId="0" applyFont="1" applyFill="1" applyBorder="1" applyAlignment="1">
      <alignment horizontal="left" vertical="center" wrapText="1"/>
    </xf>
    <xf numFmtId="0" fontId="14" fillId="0" borderId="7" xfId="0" applyFont="1" applyBorder="1" applyAlignment="1">
      <alignment horizontal="center" vertical="center"/>
    </xf>
    <xf numFmtId="0" fontId="14" fillId="0" borderId="8" xfId="0" applyFont="1" applyBorder="1" applyAlignment="1">
      <alignment vertical="center" wrapText="1"/>
    </xf>
    <xf numFmtId="0" fontId="14" fillId="0" borderId="24" xfId="0" applyFont="1" applyBorder="1" applyAlignment="1">
      <alignment vertical="center" wrapText="1"/>
    </xf>
    <xf numFmtId="0" fontId="14" fillId="0" borderId="24" xfId="0" applyFont="1" applyBorder="1" applyAlignment="1">
      <alignment horizontal="left" vertical="center" wrapText="1"/>
    </xf>
    <xf numFmtId="0" fontId="14" fillId="0" borderId="25" xfId="0" applyFont="1" applyBorder="1" applyAlignment="1">
      <alignment horizontal="left" vertical="center" wrapText="1"/>
    </xf>
    <xf numFmtId="0" fontId="14" fillId="0" borderId="26" xfId="0" applyFont="1" applyBorder="1" applyAlignment="1">
      <alignment horizontal="left" vertical="center" wrapText="1"/>
    </xf>
    <xf numFmtId="0" fontId="14" fillId="0" borderId="24" xfId="0" applyFont="1" applyBorder="1" applyAlignment="1">
      <alignment horizontal="left" vertical="center"/>
    </xf>
    <xf numFmtId="0" fontId="14" fillId="0" borderId="25" xfId="0" applyFont="1" applyBorder="1" applyAlignment="1">
      <alignment horizontal="left" vertical="center"/>
    </xf>
    <xf numFmtId="0" fontId="14" fillId="0" borderId="26" xfId="0" applyFont="1" applyBorder="1" applyAlignment="1">
      <alignment horizontal="left" vertical="center"/>
    </xf>
    <xf numFmtId="0" fontId="14" fillId="0" borderId="8" xfId="0" applyFont="1" applyBorder="1" applyAlignment="1">
      <alignment horizontal="left" vertical="center" wrapText="1"/>
    </xf>
    <xf numFmtId="0" fontId="14" fillId="0" borderId="25" xfId="0" applyFont="1" applyBorder="1" applyAlignment="1">
      <alignment vertical="center" wrapText="1"/>
    </xf>
    <xf numFmtId="0" fontId="14" fillId="0" borderId="8" xfId="0" applyFont="1" applyBorder="1" applyAlignment="1">
      <alignment vertical="center"/>
    </xf>
    <xf numFmtId="0" fontId="14" fillId="0" borderId="24" xfId="0" applyFont="1" applyBorder="1" applyAlignment="1">
      <alignment vertical="center"/>
    </xf>
    <xf numFmtId="0" fontId="14" fillId="0" borderId="16" xfId="0" applyFont="1" applyBorder="1" applyAlignment="1">
      <alignment horizontal="center" vertical="center"/>
    </xf>
    <xf numFmtId="0" fontId="15" fillId="0" borderId="17" xfId="0" applyFont="1" applyBorder="1" applyAlignment="1">
      <alignment vertical="center" wrapText="1"/>
    </xf>
    <xf numFmtId="0" fontId="15" fillId="0" borderId="27" xfId="0" applyFont="1" applyBorder="1" applyAlignment="1">
      <alignment vertical="center" wrapText="1"/>
    </xf>
    <xf numFmtId="0" fontId="14" fillId="0" borderId="27" xfId="0" applyFont="1" applyBorder="1" applyAlignment="1">
      <alignment horizontal="left" vertical="center" wrapText="1"/>
    </xf>
    <xf numFmtId="0" fontId="14" fillId="0" borderId="28" xfId="0" applyFont="1" applyBorder="1" applyAlignment="1">
      <alignment horizontal="left" vertical="center"/>
    </xf>
    <xf numFmtId="0" fontId="14" fillId="0" borderId="29" xfId="0" applyFont="1" applyBorder="1" applyAlignment="1">
      <alignment horizontal="left" vertical="center"/>
    </xf>
    <xf numFmtId="0" fontId="16" fillId="15" borderId="30" xfId="0" applyFont="1" applyFill="1" applyBorder="1" applyAlignment="1">
      <alignment horizontal="center" vertical="center" wrapText="1"/>
    </xf>
    <xf numFmtId="0" fontId="16" fillId="15" borderId="30" xfId="0" applyFont="1" applyFill="1" applyBorder="1" applyAlignment="1">
      <alignment horizontal="center" vertical="center"/>
    </xf>
    <xf numFmtId="0" fontId="17" fillId="0" borderId="3" xfId="0" applyFont="1" applyFill="1" applyBorder="1" applyAlignment="1">
      <alignment horizontal="center" vertical="center" wrapText="1"/>
    </xf>
    <xf numFmtId="0" fontId="0" fillId="0" borderId="3" xfId="0" applyFill="1" applyBorder="1" applyAlignment="1">
      <alignment vertical="center" wrapText="1"/>
    </xf>
    <xf numFmtId="0" fontId="0" fillId="0" borderId="3" xfId="0" applyFont="1" applyFill="1" applyBorder="1" applyAlignment="1">
      <alignment vertical="center" wrapText="1"/>
    </xf>
    <xf numFmtId="0" fontId="15" fillId="0" borderId="3" xfId="0" applyFont="1" applyFill="1" applyBorder="1" applyAlignment="1">
      <alignment vertical="center" wrapText="1"/>
    </xf>
    <xf numFmtId="0" fontId="0" fillId="0" borderId="3" xfId="0" applyBorder="1">
      <alignment vertical="center"/>
    </xf>
    <xf numFmtId="0" fontId="18" fillId="0" borderId="3" xfId="0" applyFont="1" applyFill="1" applyBorder="1" applyAlignment="1">
      <alignment horizontal="center" vertical="center" wrapText="1"/>
    </xf>
    <xf numFmtId="0" fontId="19" fillId="0" borderId="3" xfId="0" applyFont="1" applyFill="1" applyBorder="1" applyAlignment="1">
      <alignment horizontal="center" vertical="center" wrapText="1"/>
    </xf>
    <xf numFmtId="0" fontId="20" fillId="0" borderId="3" xfId="0" applyFont="1" applyFill="1" applyBorder="1" applyAlignment="1">
      <alignment horizontal="center" vertical="center" wrapText="1"/>
    </xf>
    <xf numFmtId="0" fontId="21" fillId="0" borderId="3" xfId="0" applyFont="1" applyFill="1" applyBorder="1" applyAlignment="1">
      <alignment horizontal="center" vertical="center" wrapText="1"/>
    </xf>
    <xf numFmtId="0" fontId="0" fillId="0" borderId="31" xfId="0" applyBorder="1" applyAlignment="1">
      <alignment horizontal="left" vertical="center" wrapText="1"/>
    </xf>
    <xf numFmtId="0" fontId="0" fillId="0" borderId="32" xfId="0" applyBorder="1" applyAlignment="1">
      <alignment horizontal="left" vertical="center" wrapText="1"/>
    </xf>
    <xf numFmtId="0" fontId="0" fillId="0" borderId="33" xfId="0" applyBorder="1" applyAlignment="1">
      <alignment horizontal="left" vertical="center" wrapText="1"/>
    </xf>
    <xf numFmtId="0" fontId="0" fillId="0" borderId="3" xfId="0" applyBorder="1" applyAlignment="1">
      <alignment horizontal="center" vertical="center" wrapText="1"/>
    </xf>
    <xf numFmtId="0" fontId="0" fillId="0" borderId="30" xfId="0" applyBorder="1" applyAlignment="1">
      <alignment horizontal="left" vertical="center"/>
    </xf>
    <xf numFmtId="0" fontId="0" fillId="0" borderId="30" xfId="0" applyBorder="1" applyAlignment="1">
      <alignment horizontal="center" vertical="center"/>
    </xf>
    <xf numFmtId="0" fontId="0" fillId="10" borderId="3" xfId="0" applyFill="1" applyBorder="1" applyAlignment="1">
      <alignment horizontal="center" vertical="center"/>
    </xf>
    <xf numFmtId="0" fontId="0" fillId="0" borderId="34" xfId="0" applyBorder="1">
      <alignment vertical="center"/>
    </xf>
    <xf numFmtId="0" fontId="0" fillId="0" borderId="3" xfId="0" applyBorder="1" applyAlignment="1">
      <alignment horizontal="left" vertical="center"/>
    </xf>
    <xf numFmtId="0" fontId="0" fillId="0" borderId="35" xfId="0" applyBorder="1" applyAlignment="1">
      <alignment horizontal="left" vertical="center"/>
    </xf>
    <xf numFmtId="0" fontId="0" fillId="0" borderId="35" xfId="0" applyBorder="1" applyAlignment="1">
      <alignment horizontal="center" vertical="center"/>
    </xf>
    <xf numFmtId="0" fontId="0" fillId="0" borderId="36" xfId="0" applyBorder="1">
      <alignment vertical="center"/>
    </xf>
    <xf numFmtId="0" fontId="0" fillId="0" borderId="37" xfId="0" applyBorder="1" applyAlignment="1">
      <alignment horizontal="center" vertical="center"/>
    </xf>
    <xf numFmtId="0" fontId="0" fillId="0" borderId="3" xfId="0" applyBorder="1" applyAlignment="1">
      <alignment horizontal="center" vertical="center"/>
    </xf>
    <xf numFmtId="0" fontId="0" fillId="0" borderId="37" xfId="0" applyBorder="1" applyAlignment="1">
      <alignment horizontal="left" vertical="center"/>
    </xf>
    <xf numFmtId="0" fontId="0" fillId="0" borderId="30" xfId="0" applyBorder="1" applyAlignment="1">
      <alignment horizontal="center" vertical="center" wrapText="1"/>
    </xf>
    <xf numFmtId="0" fontId="0" fillId="0" borderId="3" xfId="0" applyFill="1" applyBorder="1">
      <alignment vertical="center"/>
    </xf>
    <xf numFmtId="0" fontId="0" fillId="0" borderId="35" xfId="0" applyBorder="1" applyAlignment="1">
      <alignment horizontal="center" vertical="center" wrapText="1"/>
    </xf>
    <xf numFmtId="0" fontId="0" fillId="0" borderId="3" xfId="0" applyNumberFormat="1" applyFont="1" applyFill="1" applyBorder="1" applyAlignment="1" applyProtection="1">
      <alignment horizontal="center" vertical="center"/>
    </xf>
    <xf numFmtId="0" fontId="0" fillId="0" borderId="30" xfId="0" applyBorder="1">
      <alignment vertical="center"/>
    </xf>
    <xf numFmtId="0" fontId="0" fillId="0" borderId="33" xfId="0" applyBorder="1">
      <alignment vertical="center"/>
    </xf>
    <xf numFmtId="0" fontId="0" fillId="0" borderId="36" xfId="0" applyBorder="1" applyAlignment="1">
      <alignment vertical="center" wrapText="1"/>
    </xf>
    <xf numFmtId="0" fontId="0" fillId="0" borderId="35" xfId="0" applyBorder="1">
      <alignment vertical="center"/>
    </xf>
    <xf numFmtId="0" fontId="0" fillId="0" borderId="38" xfId="0" applyBorder="1">
      <alignment vertical="center"/>
    </xf>
    <xf numFmtId="0" fontId="0" fillId="0" borderId="3" xfId="0" applyBorder="1" applyAlignment="1">
      <alignment vertical="center" wrapText="1"/>
    </xf>
    <xf numFmtId="0" fontId="0" fillId="0" borderId="31" xfId="0" applyBorder="1">
      <alignment vertical="center"/>
    </xf>
    <xf numFmtId="0" fontId="0" fillId="0" borderId="0" xfId="0" applyAlignment="1">
      <alignment horizontal="center" vertical="center" wrapText="1"/>
    </xf>
    <xf numFmtId="0" fontId="0" fillId="0" borderId="34" xfId="0" applyBorder="1" applyAlignment="1">
      <alignment horizontal="center" vertical="center" wrapText="1"/>
    </xf>
    <xf numFmtId="0" fontId="0" fillId="0" borderId="0" xfId="0" applyBorder="1">
      <alignment vertical="center"/>
    </xf>
    <xf numFmtId="0" fontId="0" fillId="0" borderId="36" xfId="0" applyBorder="1" applyAlignment="1">
      <alignment horizontal="center" vertical="center" wrapText="1"/>
    </xf>
    <xf numFmtId="0" fontId="0" fillId="0" borderId="3" xfId="0" applyFill="1" applyBorder="1" applyAlignment="1">
      <alignment horizontal="center" vertical="center"/>
    </xf>
    <xf numFmtId="0" fontId="0" fillId="0" borderId="39" xfId="0" applyBorder="1" applyAlignment="1">
      <alignment horizontal="center" vertical="center" wrapText="1"/>
    </xf>
    <xf numFmtId="0" fontId="0" fillId="0" borderId="0" xfId="0" applyFill="1" applyAlignment="1">
      <alignment horizontal="center" vertical="center"/>
    </xf>
    <xf numFmtId="0" fontId="0" fillId="10" borderId="3" xfId="0" applyNumberFormat="1" applyFont="1" applyFill="1" applyBorder="1" applyAlignment="1" applyProtection="1">
      <alignment horizontal="center" vertical="center"/>
    </xf>
    <xf numFmtId="9" fontId="0" fillId="10" borderId="3" xfId="0" applyNumberFormat="1" applyFill="1" applyBorder="1" applyAlignment="1">
      <alignment horizontal="center" vertical="center"/>
    </xf>
    <xf numFmtId="0" fontId="0" fillId="0" borderId="0" xfId="0" applyAlignment="1">
      <alignment horizontal="left" vertical="center" wrapText="1"/>
    </xf>
    <xf numFmtId="0" fontId="0" fillId="0" borderId="40" xfId="0" applyBorder="1">
      <alignment vertical="center"/>
    </xf>
    <xf numFmtId="179" fontId="0" fillId="0" borderId="3" xfId="0" applyNumberFormat="1" applyBorder="1" applyAlignment="1">
      <alignment horizontal="center" vertical="center"/>
    </xf>
    <xf numFmtId="10" fontId="0" fillId="0" borderId="3" xfId="0" applyNumberFormat="1" applyBorder="1" applyAlignment="1">
      <alignment horizontal="center" vertical="center"/>
    </xf>
    <xf numFmtId="0" fontId="0" fillId="0" borderId="36" xfId="0" applyBorder="1" applyAlignment="1">
      <alignment horizontal="left" vertical="center" wrapText="1"/>
    </xf>
    <xf numFmtId="0" fontId="4" fillId="0" borderId="3" xfId="0" applyFont="1" applyBorder="1" applyAlignment="1">
      <alignment horizontal="center" vertical="center"/>
    </xf>
    <xf numFmtId="179" fontId="0" fillId="0" borderId="31" xfId="0" applyNumberFormat="1" applyBorder="1" applyAlignment="1">
      <alignment horizontal="center" vertical="center"/>
    </xf>
    <xf numFmtId="17" fontId="0" fillId="0" borderId="3" xfId="0" applyNumberFormat="1" applyBorder="1" applyAlignment="1">
      <alignment horizontal="center" vertical="center"/>
    </xf>
    <xf numFmtId="0" fontId="0" fillId="0" borderId="39" xfId="0" applyBorder="1">
      <alignment vertical="center"/>
    </xf>
    <xf numFmtId="14" fontId="0" fillId="0" borderId="3" xfId="0" applyNumberFormat="1" applyBorder="1" applyAlignment="1">
      <alignment horizontal="center" vertical="center"/>
    </xf>
    <xf numFmtId="14" fontId="0" fillId="0" borderId="37" xfId="0" applyNumberFormat="1" applyBorder="1" applyAlignment="1">
      <alignment horizontal="center" vertical="center"/>
    </xf>
    <xf numFmtId="180" fontId="0" fillId="10" borderId="3" xfId="0" applyNumberFormat="1" applyFill="1" applyBorder="1" applyAlignment="1">
      <alignment horizontal="center" vertical="center"/>
    </xf>
    <xf numFmtId="0" fontId="22" fillId="10" borderId="3" xfId="0" applyFont="1" applyFill="1" applyBorder="1" applyAlignment="1">
      <alignment vertical="center"/>
    </xf>
    <xf numFmtId="0" fontId="22" fillId="10" borderId="3" xfId="0" applyFont="1" applyFill="1" applyBorder="1" applyAlignment="1">
      <alignment horizontal="center" vertical="center"/>
    </xf>
    <xf numFmtId="0" fontId="0" fillId="0" borderId="40" xfId="0" applyBorder="1" applyAlignment="1">
      <alignment vertical="center"/>
    </xf>
    <xf numFmtId="0" fontId="23" fillId="10" borderId="3" xfId="0" applyFont="1" applyFill="1" applyBorder="1" applyAlignment="1">
      <alignment horizontal="left" vertical="center"/>
    </xf>
    <xf numFmtId="0" fontId="23" fillId="10" borderId="3" xfId="0" applyFont="1" applyFill="1" applyBorder="1" applyAlignment="1">
      <alignment horizontal="center" vertical="center"/>
    </xf>
    <xf numFmtId="0" fontId="0" fillId="0" borderId="0" xfId="0" applyAlignment="1">
      <alignment vertical="center"/>
    </xf>
    <xf numFmtId="14" fontId="0" fillId="16" borderId="3" xfId="0" applyNumberFormat="1" applyFill="1" applyBorder="1" applyAlignment="1">
      <alignment horizontal="center" vertical="center"/>
    </xf>
    <xf numFmtId="177" fontId="0" fillId="0" borderId="0" xfId="0" applyNumberFormat="1" applyAlignment="1">
      <alignment horizontal="center" vertical="center"/>
    </xf>
    <xf numFmtId="0" fontId="0" fillId="0" borderId="41" xfId="0" applyBorder="1">
      <alignment vertical="center"/>
    </xf>
    <xf numFmtId="0" fontId="0" fillId="0" borderId="42" xfId="0" applyBorder="1">
      <alignment vertical="center"/>
    </xf>
    <xf numFmtId="0" fontId="0" fillId="0" borderId="43" xfId="0" applyBorder="1">
      <alignment vertical="center"/>
    </xf>
    <xf numFmtId="0" fontId="22" fillId="10" borderId="3" xfId="0" applyFont="1" applyFill="1" applyBorder="1" applyAlignment="1">
      <alignment horizontal="right" vertical="center"/>
    </xf>
    <xf numFmtId="0" fontId="23" fillId="10" borderId="3" xfId="0" applyFont="1" applyFill="1" applyBorder="1" applyAlignment="1">
      <alignment horizontal="left" vertical="center" wrapText="1"/>
    </xf>
    <xf numFmtId="0" fontId="23" fillId="10" borderId="3" xfId="0" applyFont="1" applyFill="1" applyBorder="1" applyAlignment="1">
      <alignment horizontal="right" vertical="center"/>
    </xf>
    <xf numFmtId="0" fontId="24" fillId="17" borderId="31" xfId="0" applyFont="1" applyFill="1" applyBorder="1" applyAlignment="1">
      <alignment horizontal="left" vertical="center"/>
    </xf>
    <xf numFmtId="0" fontId="24" fillId="17" borderId="32" xfId="0" applyFont="1" applyFill="1" applyBorder="1" applyAlignment="1">
      <alignment horizontal="left" vertical="center"/>
    </xf>
    <xf numFmtId="17" fontId="0" fillId="0" borderId="0" xfId="0" applyNumberFormat="1" applyAlignment="1">
      <alignment horizontal="center" vertical="center"/>
    </xf>
    <xf numFmtId="0" fontId="0" fillId="18" borderId="3" xfId="0" applyFill="1" applyBorder="1" applyAlignment="1">
      <alignment horizontal="center" vertical="center"/>
    </xf>
    <xf numFmtId="0" fontId="0" fillId="0" borderId="31" xfId="0" applyBorder="1" applyAlignment="1">
      <alignment horizontal="center" vertical="center"/>
    </xf>
    <xf numFmtId="0" fontId="0" fillId="0" borderId="3" xfId="0" applyBorder="1" applyAlignment="1">
      <alignment vertical="center"/>
    </xf>
    <xf numFmtId="0" fontId="0" fillId="10" borderId="3" xfId="0" applyFill="1" applyBorder="1">
      <alignment vertical="center"/>
    </xf>
    <xf numFmtId="0" fontId="0" fillId="0" borderId="37" xfId="0" applyBorder="1" applyAlignment="1">
      <alignment vertical="center"/>
    </xf>
    <xf numFmtId="0" fontId="0" fillId="0" borderId="0" xfId="0" applyBorder="1" applyAlignment="1">
      <alignment horizontal="center" vertical="center"/>
    </xf>
    <xf numFmtId="17" fontId="0" fillId="0" borderId="42" xfId="0" applyNumberFormat="1" applyBorder="1" applyAlignment="1">
      <alignment horizontal="center" vertical="center"/>
    </xf>
    <xf numFmtId="0" fontId="0" fillId="0" borderId="37" xfId="0" applyBorder="1" applyAlignment="1">
      <alignment horizontal="center" vertical="center" wrapText="1"/>
    </xf>
    <xf numFmtId="0" fontId="25" fillId="19" borderId="3" xfId="0" applyFont="1" applyFill="1" applyBorder="1">
      <alignment vertical="center"/>
    </xf>
    <xf numFmtId="49" fontId="0" fillId="0" borderId="3" xfId="0" applyNumberFormat="1" applyBorder="1">
      <alignment vertical="center"/>
    </xf>
    <xf numFmtId="0" fontId="25" fillId="19" borderId="42" xfId="0" applyFont="1" applyFill="1" applyBorder="1">
      <alignment vertical="center"/>
    </xf>
    <xf numFmtId="49" fontId="0" fillId="0" borderId="0" xfId="0" applyNumberFormat="1">
      <alignment vertical="center"/>
    </xf>
    <xf numFmtId="49" fontId="0" fillId="0" borderId="40" xfId="0" applyNumberFormat="1" applyBorder="1">
      <alignment vertical="center"/>
    </xf>
    <xf numFmtId="49" fontId="0" fillId="0" borderId="33" xfId="0" applyNumberFormat="1" applyBorder="1">
      <alignment vertical="center"/>
    </xf>
    <xf numFmtId="0" fontId="26" fillId="0" borderId="3" xfId="0" applyFont="1" applyBorder="1" applyAlignment="1">
      <alignment horizontal="left" vertical="center"/>
    </xf>
    <xf numFmtId="0" fontId="0" fillId="0" borderId="37" xfId="0" applyBorder="1">
      <alignment vertical="center"/>
    </xf>
    <xf numFmtId="0" fontId="24" fillId="17" borderId="33" xfId="0" applyFont="1" applyFill="1" applyBorder="1" applyAlignment="1">
      <alignment horizontal="left" vertical="center"/>
    </xf>
    <xf numFmtId="0" fontId="25" fillId="0" borderId="3" xfId="0" applyFont="1" applyBorder="1">
      <alignment vertical="center"/>
    </xf>
    <xf numFmtId="0" fontId="25" fillId="0" borderId="0" xfId="0" applyFont="1">
      <alignment vertical="center"/>
    </xf>
    <xf numFmtId="9" fontId="0" fillId="0" borderId="0" xfId="0" applyNumberFormat="1">
      <alignment vertical="center"/>
    </xf>
    <xf numFmtId="0" fontId="0" fillId="20" borderId="0" xfId="0" applyFill="1">
      <alignment vertical="center"/>
    </xf>
    <xf numFmtId="0" fontId="0" fillId="0" borderId="0" xfId="0" applyFill="1">
      <alignment vertical="center"/>
    </xf>
    <xf numFmtId="0" fontId="27" fillId="20"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strike val="0"/>
        <color rgb="FFFF0000"/>
      </font>
    </dxf>
    <dxf>
      <font>
        <strike val="0"/>
        <color theme="8"/>
      </font>
    </dxf>
  </dxfs>
  <tableStyles count="0" defaultTableStyle="TableStyleMedium2" defaultPivotStyle="PivotStyleLight16"/>
  <colors>
    <mruColors>
      <color rgb="001F7C99"/>
      <color rgb="0070E3E1"/>
      <color rgb="00103C66"/>
      <color rgb="0000D860"/>
      <color rgb="00EB2E09"/>
      <color rgb="00EA9B1E"/>
      <color rgb="00EAD21D"/>
      <color rgb="00005AF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microsoft.com/office/2011/relationships/chartColorStyle" Target="colors3.xml"/><Relationship Id="rId2" Type="http://schemas.microsoft.com/office/2011/relationships/chartStyle" Target="style3.xml"/><Relationship Id="rId1" Type="http://schemas.openxmlformats.org/officeDocument/2006/relationships/themeOverride" Target="../theme/themeOverride1.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microsoft.com/office/2011/relationships/chartColorStyle" Target="colors9.xml"/><Relationship Id="rId2" Type="http://schemas.microsoft.com/office/2011/relationships/chartStyle" Target="style9.xml"/><Relationship Id="rId1" Type="http://schemas.openxmlformats.org/officeDocument/2006/relationships/themeOverride" Target="../theme/themeOverride2.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14410134600158"/>
          <c:y val="0.197183098591549"/>
          <c:w val="0.909527579836368"/>
          <c:h val="0.643213828425096"/>
        </c:manualLayout>
      </c:layout>
      <c:barChart>
        <c:barDir val="col"/>
        <c:grouping val="clustered"/>
        <c:varyColors val="0"/>
        <c:ser>
          <c:idx val="0"/>
          <c:order val="0"/>
          <c:tx>
            <c:strRef>
              <c:f>"平均处置时间（分钟）"</c:f>
              <c:strCache>
                <c:ptCount val="1"/>
                <c:pt idx="0">
                  <c:v>平均处置时间（分钟）</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数据统计!$F$51:$F$55</c:f>
              <c:strCache>
                <c:ptCount val="5"/>
                <c:pt idx="0">
                  <c:v>识别</c:v>
                </c:pt>
                <c:pt idx="1">
                  <c:v>响应</c:v>
                </c:pt>
                <c:pt idx="2">
                  <c:v>遏制</c:v>
                </c:pt>
                <c:pt idx="3">
                  <c:v>处置</c:v>
                </c:pt>
                <c:pt idx="4">
                  <c:v>闭环</c:v>
                </c:pt>
              </c:strCache>
            </c:strRef>
          </c:cat>
          <c:val>
            <c:numRef>
              <c:f>数据统计!$G$51:$G$55</c:f>
              <c:numCache>
                <c:formatCode>0.00_ </c:formatCode>
                <c:ptCount val="5"/>
                <c:pt idx="0">
                  <c:v>1.46</c:v>
                </c:pt>
                <c:pt idx="1">
                  <c:v>6.68</c:v>
                </c:pt>
                <c:pt idx="2">
                  <c:v>6.68</c:v>
                </c:pt>
                <c:pt idx="3">
                  <c:v>6955.7175</c:v>
                </c:pt>
                <c:pt idx="4">
                  <c:v>26680.7175</c:v>
                </c:pt>
              </c:numCache>
            </c:numRef>
          </c:val>
        </c:ser>
        <c:dLbls>
          <c:showLegendKey val="0"/>
          <c:showVal val="1"/>
          <c:showCatName val="0"/>
          <c:showSerName val="0"/>
          <c:showPercent val="0"/>
          <c:showBubbleSize val="0"/>
        </c:dLbls>
        <c:gapWidth val="246"/>
        <c:overlap val="-28"/>
        <c:axId val="590885613"/>
        <c:axId val="82692506"/>
      </c:barChart>
      <c:catAx>
        <c:axId val="59088561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2692506"/>
        <c:crosses val="autoZero"/>
        <c:auto val="1"/>
        <c:lblAlgn val="ctr"/>
        <c:lblOffset val="100"/>
        <c:noMultiLvlLbl val="0"/>
      </c:catAx>
      <c:valAx>
        <c:axId val="82692506"/>
        <c:scaling>
          <c:orientation val="minMax"/>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90885613"/>
        <c:crosses val="autoZero"/>
        <c:crossBetween val="between"/>
      </c:valAx>
      <c:spPr>
        <a:noFill/>
        <a:ln>
          <a:noFill/>
        </a:ln>
        <a:effectLst/>
      </c:spPr>
    </c:plotArea>
    <c:plotVisOnly val="1"/>
    <c:dispBlanksAs val="gap"/>
    <c:showDLblsOverMax val="0"/>
  </c:chart>
  <c:spPr>
    <a:noFill/>
    <a:ln w="9525" cap="flat" cmpd="sng" algn="ctr">
      <a:noFill/>
      <a:prstDash val="solid"/>
      <a:round/>
    </a:ln>
    <a:effectLst/>
  </c:spPr>
  <c:txPr>
    <a:bodyPr/>
    <a:lstStyle/>
    <a:p>
      <a:pPr>
        <a:defRPr lang="zh-CN"/>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c:explosion val="0"/>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Lbls>
            <c:numFmt formatCode="General" sourceLinked="1"/>
            <c:spPr>
              <a:noFill/>
              <a:ln>
                <a:noFill/>
              </a:ln>
              <a:effectLst/>
            </c:spPr>
            <c:txPr>
              <a:bodyPr rot="0" spcFirstLastPara="0" vertOverflow="ellipsis" vert="horz" wrap="square" lIns="38100" tIns="19050" rIns="38100" bIns="19050" anchor="ctr" anchorCtr="1" forceAA="0">
                <a:spAutoFit/>
              </a:bodyPr>
              <a:lstStyle/>
              <a:p>
                <a:pPr>
                  <a:defRPr lang="zh-CN" sz="900" b="0" i="0" u="none" strike="noStrike" kern="1200" baseline="0">
                    <a:solidFill>
                      <a:schemeClr val="bg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showLegendKey val="0"/>
            <c:showVal val="0"/>
            <c:showCatName val="0"/>
            <c:showSerName val="0"/>
            <c:showPercent val="1"/>
            <c:showBubbleSize val="0"/>
            <c:separator>
</c:separator>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数据统计!$C$51:$C$55</c:f>
              <c:strCache>
                <c:ptCount val="5"/>
                <c:pt idx="0">
                  <c:v>渗透框架</c:v>
                </c:pt>
                <c:pt idx="1" c:formatCode="mmm\-yy">
                  <c:v>木马</c:v>
                </c:pt>
                <c:pt idx="2" c:formatCode="mmm\-yy">
                  <c:v>代理工具</c:v>
                </c:pt>
                <c:pt idx="3" c:formatCode="mmm\-yy">
                  <c:v>挖矿</c:v>
                </c:pt>
                <c:pt idx="4" c:formatCode="mmm\-yy">
                  <c:v>账号安全</c:v>
                </c:pt>
              </c:strCache>
            </c:strRef>
          </c:cat>
          <c:val>
            <c:numRef>
              <c:f>数据统计!$D$51:$D$55</c:f>
              <c:numCache>
                <c:formatCode>General</c:formatCode>
                <c:ptCount val="5"/>
                <c:pt idx="0">
                  <c:v>2</c:v>
                </c:pt>
                <c:pt idx="1">
                  <c:v>0</c:v>
                </c:pt>
                <c:pt idx="2">
                  <c:v>0</c:v>
                </c:pt>
                <c:pt idx="3">
                  <c:v>0</c:v>
                </c:pt>
                <c:pt idx="4">
                  <c:v>1</c:v>
                </c:pt>
              </c:numCache>
            </c:numRef>
          </c:val>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chart>
  <c:spPr>
    <a:noFill/>
    <a:ln w="6350" cap="flat" cmpd="sng" algn="ctr">
      <a:noFill/>
      <a:round/>
    </a:ln>
    <a:effectLst/>
  </c:spPr>
  <c:txPr>
    <a:bodyPr/>
    <a:lstStyle/>
    <a:p>
      <a:pPr>
        <a:defRPr lang="zh-CN">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c:explosion val="0"/>
          <c:dPt>
            <c:idx val="0"/>
            <c:bubble3D val="0"/>
            <c:spPr>
              <a:solidFill>
                <a:schemeClr val="accent1"/>
              </a:solidFill>
              <a:ln>
                <a:solidFill>
                  <a:schemeClr val="bg1"/>
                </a:solidFill>
              </a:ln>
              <a:effectLst/>
            </c:spPr>
          </c:dPt>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数据统计!#REF!</c:f>
              <c:numCache>
                <c:ptCount val="0"/>
              </c:numCache>
            </c:numRef>
          </c:cat>
          <c:val>
            <c:numRef>
              <c:f>数据统计!#REF!</c:f>
              <c:numCache>
                <c:formatCode>General</c:formatCode>
                <c:ptCount val="1"/>
                <c:pt idx="0">
                  <c:v>1</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chart>
  <c:spPr>
    <a:noFill/>
    <a:ln w="6350" cap="flat" cmpd="sng" algn="ctr">
      <a:noFill/>
      <a:round/>
    </a:ln>
    <a:effectLst/>
  </c:spPr>
  <c:txPr>
    <a:bodyPr/>
    <a:lstStyle/>
    <a:p>
      <a:pPr>
        <a:defRPr lang="zh-CN">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数据统计!$B$72</c:f>
              <c:strCache>
                <c:ptCount val="1"/>
                <c:pt idx="0">
                  <c:v>外部攻击数</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数据统计!$C$71:$N$71</c:f>
              <c:strCache>
                <c:ptCount val="12"/>
                <c:pt idx="0">
                  <c:v>2025-08</c:v>
                </c:pt>
                <c:pt idx="1" c:formatCode="yyyy/m/d">
                  <c:v>2025-09</c:v>
                </c:pt>
                <c:pt idx="2" c:formatCode="yyyy/m/d">
                  <c:v>2025-10</c:v>
                </c:pt>
                <c:pt idx="3" c:formatCode="yyyy/m/d">
                  <c:v>2025-11</c:v>
                </c:pt>
                <c:pt idx="4" c:formatCode="yyyy/m/d">
                  <c:v>2025-12</c:v>
                </c:pt>
                <c:pt idx="5" c:formatCode="yyyy/m/d">
                  <c:v>2026-01</c:v>
                </c:pt>
                <c:pt idx="6" c:formatCode="yyyy/m/d">
                  <c:v>2026-02</c:v>
                </c:pt>
                <c:pt idx="7" c:formatCode="yyyy/m/d">
                  <c:v>2026-03</c:v>
                </c:pt>
                <c:pt idx="8" c:formatCode="yyyy/m/d">
                  <c:v>2026-04</c:v>
                </c:pt>
                <c:pt idx="9" c:formatCode="yyyy/m/d">
                  <c:v>2026-05</c:v>
                </c:pt>
                <c:pt idx="10" c:formatCode="yyyy/m/d">
                  <c:v>2026-06</c:v>
                </c:pt>
                <c:pt idx="11" c:formatCode="yyyy/m/d">
                  <c:v>2026-07</c:v>
                </c:pt>
              </c:strCache>
            </c:strRef>
          </c:cat>
          <c:val>
            <c:numRef>
              <c:f>数据统计!$C$72:$N$72</c:f>
              <c:numCache>
                <c:formatCode>0\.0,"万"</c:formatCode>
                <c:ptCount val="12"/>
                <c:pt idx="0">
                  <c:v>6729</c:v>
                </c:pt>
                <c:pt idx="1">
                  <c:v>5323</c:v>
                </c:pt>
                <c:pt idx="2">
                  <c:v>5940</c:v>
                </c:pt>
                <c:pt idx="3">
                  <c:v>34095</c:v>
                </c:pt>
                <c:pt idx="4">
                  <c:v>6990</c:v>
                </c:pt>
                <c:pt idx="5">
                  <c:v>8813</c:v>
                </c:pt>
                <c:pt idx="6">
                  <c:v>4270</c:v>
                </c:pt>
                <c:pt idx="7">
                  <c:v>4506</c:v>
                </c:pt>
              </c:numCache>
            </c:numRef>
          </c:val>
          <c:smooth val="0"/>
        </c:ser>
        <c:ser>
          <c:idx val="1"/>
          <c:order val="1"/>
          <c:tx>
            <c:strRef>
              <c:f>数据统计!$B$73</c:f>
              <c:strCache>
                <c:ptCount val="1"/>
                <c:pt idx="0">
                  <c:v>恶意外联数</c:v>
                </c:pt>
              </c:strCache>
            </c:strRef>
          </c:tx>
          <c:spPr>
            <a:ln w="28575" cap="rnd">
              <a:solidFill>
                <a:schemeClr val="accent2"/>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数据统计!$C$71:$N$71</c:f>
              <c:strCache>
                <c:ptCount val="12"/>
                <c:pt idx="0">
                  <c:v>2025-08</c:v>
                </c:pt>
                <c:pt idx="1" c:formatCode="yyyy/m/d">
                  <c:v>2025-09</c:v>
                </c:pt>
                <c:pt idx="2" c:formatCode="yyyy/m/d">
                  <c:v>2025-10</c:v>
                </c:pt>
                <c:pt idx="3" c:formatCode="yyyy/m/d">
                  <c:v>2025-11</c:v>
                </c:pt>
                <c:pt idx="4" c:formatCode="yyyy/m/d">
                  <c:v>2025-12</c:v>
                </c:pt>
                <c:pt idx="5" c:formatCode="yyyy/m/d">
                  <c:v>2026-01</c:v>
                </c:pt>
                <c:pt idx="6" c:formatCode="yyyy/m/d">
                  <c:v>2026-02</c:v>
                </c:pt>
                <c:pt idx="7" c:formatCode="yyyy/m/d">
                  <c:v>2026-03</c:v>
                </c:pt>
                <c:pt idx="8" c:formatCode="yyyy/m/d">
                  <c:v>2026-04</c:v>
                </c:pt>
                <c:pt idx="9" c:formatCode="yyyy/m/d">
                  <c:v>2026-05</c:v>
                </c:pt>
                <c:pt idx="10" c:formatCode="yyyy/m/d">
                  <c:v>2026-06</c:v>
                </c:pt>
                <c:pt idx="11" c:formatCode="yyyy/m/d">
                  <c:v>2026-07</c:v>
                </c:pt>
              </c:strCache>
            </c:strRef>
          </c:cat>
          <c:val>
            <c:numRef>
              <c:f>数据统计!$C$73:$N$73</c:f>
              <c:numCache>
                <c:formatCode>0\.0,"万"</c:formatCode>
                <c:ptCount val="12"/>
                <c:pt idx="0">
                  <c:v>145428</c:v>
                </c:pt>
                <c:pt idx="1">
                  <c:v>134496</c:v>
                </c:pt>
                <c:pt idx="2">
                  <c:v>165515</c:v>
                </c:pt>
                <c:pt idx="3">
                  <c:v>292379</c:v>
                </c:pt>
                <c:pt idx="4">
                  <c:v>220881</c:v>
                </c:pt>
                <c:pt idx="5">
                  <c:v>176312</c:v>
                </c:pt>
                <c:pt idx="6">
                  <c:v>214511</c:v>
                </c:pt>
                <c:pt idx="7">
                  <c:v>82013</c:v>
                </c:pt>
              </c:numCache>
            </c:numRef>
          </c:val>
          <c:smooth val="0"/>
        </c:ser>
        <c:dLbls>
          <c:showLegendKey val="0"/>
          <c:showVal val="1"/>
          <c:showCatName val="0"/>
          <c:showSerName val="0"/>
          <c:showPercent val="0"/>
          <c:showBubbleSize val="0"/>
        </c:dLbls>
        <c:marker val="0"/>
        <c:smooth val="0"/>
        <c:axId val="829985891"/>
        <c:axId val="617127009"/>
      </c:lineChart>
      <c:dateAx>
        <c:axId val="82998589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n-lt"/>
                <a:ea typeface="+mn-ea"/>
                <a:cs typeface="+mn-cs"/>
              </a:defRPr>
            </a:pPr>
          </a:p>
        </c:txPr>
        <c:crossAx val="617127009"/>
        <c:crosses val="autoZero"/>
        <c:auto val="1"/>
        <c:lblAlgn val="ctr"/>
        <c:lblOffset val="100"/>
        <c:baseTimeUnit val="days"/>
      </c:dateAx>
      <c:valAx>
        <c:axId val="617127009"/>
        <c:scaling>
          <c:orientation val="minMax"/>
        </c:scaling>
        <c:delete val="1"/>
        <c:axPos val="l"/>
        <c:numFmt formatCode="0\.0,&quot;万&quot;"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29985891"/>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noFill/>
    <a:ln w="9525" cap="flat" cmpd="sng" algn="ctr">
      <a:noFill/>
      <a:round/>
    </a:ln>
    <a:effectLst/>
  </c:spPr>
  <c:txPr>
    <a:bodyPr/>
    <a:lstStyle/>
    <a:p>
      <a:pPr>
        <a:defRPr lang="zh-CN"/>
      </a:pPr>
    </a:p>
  </c:txPr>
  <c:externalData r:id="rId1">
    <c:autoUpdate val="0"/>
  </c:externalData>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lang="en-US" altLang="zh-CN"/>
              <a:t>重要时期安全态势对比</a:t>
            </a:r>
            <a:endParaRPr lang="en-US" altLang="zh-CN"/>
          </a:p>
        </c:rich>
      </c:tx>
      <c:layout/>
      <c:overlay val="0"/>
      <c:spPr>
        <a:noFill/>
        <a:ln>
          <a:noFill/>
        </a:ln>
        <a:effectLst/>
      </c:spPr>
    </c:title>
    <c:autoTitleDeleted val="0"/>
    <c:plotArea>
      <c:layout/>
      <c:barChart>
        <c:barDir val="col"/>
        <c:grouping val="clustered"/>
        <c:varyColors val="0"/>
        <c:ser>
          <c:idx val="0"/>
          <c:order val="0"/>
          <c:tx>
            <c:strRef>
              <c:f>"日均攻击数"</c:f>
              <c:strCache>
                <c:ptCount val="1"/>
                <c:pt idx="0">
                  <c:v>日均攻击数</c:v>
                </c:pt>
              </c:strCache>
            </c:strRef>
          </c:tx>
          <c:spPr>
            <a:solidFill>
              <a:schemeClr val="accent1"/>
            </a:solidFill>
            <a:ln>
              <a:noFill/>
            </a:ln>
            <a:effectLst/>
          </c:spPr>
          <c:invertIfNegative val="0"/>
          <c:dLbls>
            <c:delete val="1"/>
          </c:dLbls>
          <c:cat>
            <c:numRef>
              <c:f>数据统计!#REF!</c:f>
              <c:numCache>
                <c:ptCount val="0"/>
              </c:numCache>
            </c:numRef>
          </c:cat>
          <c:val>
            <c:numRef>
              <c:f>数据统计!#REF!</c:f>
              <c:numCache>
                <c:formatCode>General</c:formatCode>
                <c:ptCount val="1"/>
                <c:pt idx="0">
                  <c:v>1</c:v>
                </c:pt>
              </c:numCache>
            </c:numRef>
          </c:val>
        </c:ser>
        <c:dLbls>
          <c:showLegendKey val="0"/>
          <c:showVal val="0"/>
          <c:showCatName val="0"/>
          <c:showSerName val="0"/>
          <c:showPercent val="0"/>
          <c:showBubbleSize val="0"/>
        </c:dLbls>
        <c:gapWidth val="219"/>
        <c:overlap val="-27"/>
        <c:axId val="452361593"/>
        <c:axId val="478519395"/>
      </c:barChart>
      <c:lineChart>
        <c:grouping val="standard"/>
        <c:varyColors val="0"/>
        <c:ser>
          <c:idx val="1"/>
          <c:order val="1"/>
          <c:tx>
            <c:strRef>
              <c:f>"防御率"</c:f>
              <c:strCache>
                <c:ptCount val="1"/>
                <c:pt idx="0">
                  <c:v>防御率</c:v>
                </c:pt>
              </c:strCache>
            </c:strRef>
          </c:tx>
          <c:spPr>
            <a:ln w="28575" cap="rnd">
              <a:solidFill>
                <a:srgbClr val="00D860"/>
              </a:solidFill>
              <a:round/>
            </a:ln>
            <a:effectLst/>
          </c:spPr>
          <c:marker>
            <c:symbol val="none"/>
          </c:marker>
          <c:dLbls>
            <c:delete val="1"/>
          </c:dLbls>
          <c:cat>
            <c:numRef>
              <c:f>数据统计!#REF!</c:f>
              <c:numCache>
                <c:ptCount val="0"/>
              </c:numCache>
            </c:numRef>
          </c:cat>
          <c:val>
            <c:numRef>
              <c:f>数据统计!#REF!</c:f>
              <c:numCache>
                <c:formatCode>General</c:formatCode>
                <c:ptCount val="1"/>
                <c:pt idx="0">
                  <c:v>1</c:v>
                </c:pt>
              </c:numCache>
            </c:numRef>
          </c:val>
          <c:smooth val="0"/>
        </c:ser>
        <c:dLbls>
          <c:showLegendKey val="0"/>
          <c:showVal val="0"/>
          <c:showCatName val="0"/>
          <c:showSerName val="0"/>
          <c:showPercent val="0"/>
          <c:showBubbleSize val="0"/>
        </c:dLbls>
        <c:marker val="0"/>
        <c:smooth val="0"/>
        <c:axId val="725296953"/>
        <c:axId val="406196429"/>
      </c:lineChart>
      <c:catAx>
        <c:axId val="45236159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78519395"/>
        <c:crosses val="autoZero"/>
        <c:auto val="1"/>
        <c:lblAlgn val="ctr"/>
        <c:lblOffset val="100"/>
        <c:noMultiLvlLbl val="0"/>
      </c:catAx>
      <c:valAx>
        <c:axId val="47851939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52361593"/>
        <c:crosses val="autoZero"/>
        <c:crossBetween val="between"/>
      </c:valAx>
      <c:catAx>
        <c:axId val="725296953"/>
        <c:scaling>
          <c:orientation val="minMax"/>
        </c:scaling>
        <c:delete val="1"/>
        <c:axPos val="b"/>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06196429"/>
        <c:crosses val="autoZero"/>
        <c:auto val="1"/>
        <c:lblAlgn val="ctr"/>
        <c:lblOffset val="100"/>
        <c:noMultiLvlLbl val="0"/>
      </c:catAx>
      <c:valAx>
        <c:axId val="406196429"/>
        <c:scaling>
          <c:orientation val="minMax"/>
        </c:scaling>
        <c:delete val="0"/>
        <c:axPos val="r"/>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25296953"/>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noFill/>
    <a:ln w="9525" cap="flat" cmpd="sng" algn="ctr">
      <a:noFill/>
      <a:round/>
    </a:ln>
    <a:effectLst/>
  </c:spPr>
  <c:txPr>
    <a:bodyPr/>
    <a:lstStyle/>
    <a:p>
      <a:pPr>
        <a:defRPr lang="zh-CN"/>
      </a:pPr>
    </a:p>
  </c:txPr>
  <c:externalData r:id="rId1">
    <c:autoUpdate val="0"/>
  </c:externalData>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数据统计!#REF!</c:f>
              <c:strCache>
                <c:ptCount val="1"/>
                <c:pt idx="0">
                  <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数据统计!#REF!</c:f>
              <c:numCache>
                <c:ptCount val="0"/>
              </c:numCache>
            </c:numRef>
          </c:cat>
          <c:val>
            <c:numRef>
              <c:f>数据统计!#REF!</c:f>
              <c:numCache>
                <c:formatCode>General</c:formatCode>
                <c:ptCount val="1"/>
                <c:pt idx="0">
                  <c:v>1</c:v>
                </c:pt>
              </c:numCache>
            </c:numRef>
          </c:val>
        </c:ser>
        <c:dLbls>
          <c:showLegendKey val="0"/>
          <c:showVal val="1"/>
          <c:showCatName val="0"/>
          <c:showSerName val="0"/>
          <c:showPercent val="0"/>
          <c:showBubbleSize val="0"/>
        </c:dLbls>
        <c:gapWidth val="246"/>
        <c:overlap val="-28"/>
        <c:axId val="170593429"/>
        <c:axId val="280355219"/>
      </c:barChart>
      <c:catAx>
        <c:axId val="17059342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80355219"/>
        <c:crosses val="autoZero"/>
        <c:auto val="1"/>
        <c:lblAlgn val="ctr"/>
        <c:lblOffset val="100"/>
        <c:noMultiLvlLbl val="0"/>
      </c:catAx>
      <c:valAx>
        <c:axId val="28035521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70593429"/>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noFill/>
    <a:ln w="9525" cap="flat" cmpd="sng" algn="ctr">
      <a:noFill/>
      <a:round/>
    </a:ln>
    <a:effectLst/>
  </c:spPr>
  <c:txPr>
    <a:bodyPr/>
    <a:lstStyle/>
    <a:p>
      <a:pPr>
        <a:defRPr lang="zh-CN"/>
      </a:pPr>
    </a:p>
  </c:txPr>
  <c:externalData r:id="rId1">
    <c:autoUpdate val="0"/>
  </c:externalData>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数据统计!$G$90</c:f>
              <c:strCache>
                <c:ptCount val="1"/>
                <c:pt idx="0">
                  <c:v>日均攻击数</c:v>
                </c:pt>
              </c:strCache>
            </c:strRef>
          </c:tx>
          <c:spPr>
            <a:solidFill>
              <a:schemeClr val="accent6"/>
            </a:solidFill>
            <a:ln>
              <a:noFill/>
            </a:ln>
            <a:effectLst/>
          </c:spPr>
          <c:invertIfNegative val="0"/>
          <c:dLbls>
            <c:delete val="1"/>
          </c:dLbls>
          <c:cat>
            <c:strRef>
              <c:f>数据统计!$F$91:$F$97</c:f>
              <c:strCache>
                <c:ptCount val="7"/>
                <c:pt idx="0">
                  <c:v>中秋（25/9/15-9/17）</c:v>
                </c:pt>
                <c:pt idx="1">
                  <c:v>国庆（25/10/1-10/8）</c:v>
                </c:pt>
                <c:pt idx="2">
                  <c:v>元旦（26/1/1-1/3）</c:v>
                </c:pt>
                <c:pt idx="3">
                  <c:v>春节（26/2/10-2/25）</c:v>
                </c:pt>
              </c:strCache>
            </c:strRef>
          </c:cat>
          <c:val>
            <c:numRef>
              <c:f>数据统计!$G$91:$G$97</c:f>
              <c:numCache>
                <c:formatCode>0\.0,"万"</c:formatCode>
                <c:ptCount val="7"/>
                <c:pt idx="0">
                  <c:v>9623</c:v>
                </c:pt>
                <c:pt idx="1">
                  <c:v>28655</c:v>
                </c:pt>
                <c:pt idx="2">
                  <c:v>3461</c:v>
                </c:pt>
                <c:pt idx="3">
                  <c:v>16440</c:v>
                </c:pt>
              </c:numCache>
            </c:numRef>
          </c:val>
        </c:ser>
        <c:dLbls>
          <c:showLegendKey val="0"/>
          <c:showVal val="0"/>
          <c:showCatName val="0"/>
          <c:showSerName val="0"/>
          <c:showPercent val="0"/>
          <c:showBubbleSize val="0"/>
        </c:dLbls>
        <c:gapWidth val="219"/>
        <c:overlap val="-27"/>
        <c:axId val="432151878"/>
        <c:axId val="821662473"/>
      </c:barChart>
      <c:lineChart>
        <c:grouping val="standard"/>
        <c:varyColors val="0"/>
        <c:ser>
          <c:idx val="1"/>
          <c:order val="1"/>
          <c:tx>
            <c:strRef>
              <c:f>数据统计!$H$90</c:f>
              <c:strCache>
                <c:ptCount val="1"/>
                <c:pt idx="0">
                  <c:v>防御率</c:v>
                </c:pt>
              </c:strCache>
            </c:strRef>
          </c:tx>
          <c:spPr>
            <a:ln w="28575" cap="rnd">
              <a:solidFill>
                <a:schemeClr val="accent5"/>
              </a:solidFill>
              <a:round/>
            </a:ln>
            <a:effectLst/>
          </c:spPr>
          <c:marker>
            <c:symbol val="none"/>
          </c:marker>
          <c:dLbls>
            <c:delete val="1"/>
          </c:dLbls>
          <c:cat>
            <c:strRef>
              <c:f>数据统计!$F$91:$F$97</c:f>
              <c:strCache>
                <c:ptCount val="7"/>
                <c:pt idx="0">
                  <c:v>中秋（25/9/15-9/17）</c:v>
                </c:pt>
                <c:pt idx="1">
                  <c:v>国庆（25/10/1-10/8）</c:v>
                </c:pt>
                <c:pt idx="2">
                  <c:v>元旦（26/1/1-1/3）</c:v>
                </c:pt>
                <c:pt idx="3">
                  <c:v>春节（26/2/10-2/25）</c:v>
                </c:pt>
              </c:strCache>
            </c:strRef>
          </c:cat>
          <c:val>
            <c:numRef>
              <c:f>数据统计!$H$91:$H$97</c:f>
              <c:numCache>
                <c:formatCode>0%</c:formatCode>
                <c:ptCount val="7"/>
                <c:pt idx="0">
                  <c:v>1</c:v>
                </c:pt>
                <c:pt idx="1">
                  <c:v>1</c:v>
                </c:pt>
                <c:pt idx="2">
                  <c:v>1</c:v>
                </c:pt>
                <c:pt idx="3">
                  <c:v>1</c:v>
                </c:pt>
              </c:numCache>
            </c:numRef>
          </c:val>
          <c:smooth val="0"/>
        </c:ser>
        <c:dLbls>
          <c:showLegendKey val="0"/>
          <c:showVal val="0"/>
          <c:showCatName val="0"/>
          <c:showSerName val="0"/>
          <c:showPercent val="0"/>
          <c:showBubbleSize val="0"/>
        </c:dLbls>
        <c:marker val="0"/>
        <c:smooth val="0"/>
        <c:axId val="92195734"/>
        <c:axId val="609123975"/>
      </c:lineChart>
      <c:catAx>
        <c:axId val="43215187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21662473"/>
        <c:crosses val="autoZero"/>
        <c:auto val="1"/>
        <c:lblAlgn val="ctr"/>
        <c:lblOffset val="100"/>
        <c:noMultiLvlLbl val="0"/>
      </c:catAx>
      <c:valAx>
        <c:axId val="821662473"/>
        <c:scaling>
          <c:orientation val="minMax"/>
        </c:scaling>
        <c:delete val="0"/>
        <c:axPos val="l"/>
        <c:majorGridlines>
          <c:spPr>
            <a:ln w="9525" cap="flat" cmpd="sng" algn="ctr">
              <a:noFill/>
              <a:round/>
            </a:ln>
            <a:effectLst/>
          </c:spPr>
        </c:majorGridlines>
        <c:numFmt formatCode="0\.0,&quot;万&quot;"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32151878"/>
        <c:crosses val="autoZero"/>
        <c:crossBetween val="between"/>
      </c:valAx>
      <c:catAx>
        <c:axId val="92195734"/>
        <c:scaling>
          <c:orientation val="minMax"/>
        </c:scaling>
        <c:delete val="1"/>
        <c:axPos val="b"/>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09123975"/>
        <c:crosses val="autoZero"/>
        <c:auto val="1"/>
        <c:lblAlgn val="ctr"/>
        <c:lblOffset val="100"/>
        <c:noMultiLvlLbl val="0"/>
      </c:catAx>
      <c:valAx>
        <c:axId val="609123975"/>
        <c:scaling>
          <c:orientation val="minMax"/>
        </c:scaling>
        <c:delete val="0"/>
        <c:axPos val="r"/>
        <c:numFmt formatCode="0%"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195734"/>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0"/>
          <c:tx>
            <c:strRef>
              <c:f>数据统计!$D$82</c:f>
              <c:strCache>
                <c:ptCount val="1"/>
                <c:pt idx="0">
                  <c:v>总数</c:v>
                </c:pt>
              </c:strCache>
            </c:strRef>
          </c:tx>
          <c:spPr/>
          <c:explosion val="0"/>
          <c:dPt>
            <c:idx val="0"/>
            <c:bubble3D val="0"/>
            <c:spPr>
              <a:solidFill>
                <a:schemeClr val="accent6"/>
              </a:solidFill>
              <a:ln>
                <a:solidFill>
                  <a:schemeClr val="bg1"/>
                </a:solidFill>
              </a:ln>
              <a:effectLst/>
            </c:spPr>
          </c:dPt>
          <c:dPt>
            <c:idx val="1"/>
            <c:bubble3D val="0"/>
            <c:spPr>
              <a:solidFill>
                <a:schemeClr val="accent5"/>
              </a:solidFill>
              <a:ln>
                <a:solidFill>
                  <a:schemeClr val="bg1"/>
                </a:solidFill>
              </a:ln>
              <a:effectLst/>
            </c:spPr>
          </c:dPt>
          <c:dPt>
            <c:idx val="2"/>
            <c:bubble3D val="0"/>
            <c:spPr>
              <a:solidFill>
                <a:schemeClr val="accent4"/>
              </a:solidFill>
              <a:ln>
                <a:solidFill>
                  <a:schemeClr val="bg1"/>
                </a:solidFill>
              </a:ln>
              <a:effectLst/>
            </c:spPr>
          </c:dPt>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showLegendKey val="0"/>
            <c:showVal val="1"/>
            <c:showCatName val="1"/>
            <c:showSerName val="0"/>
            <c:showPercent val="0"/>
            <c:showBubbleSize val="0"/>
            <c:separator>
</c:separator>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数据统计!$C$83:$C$85</c:f>
              <c:strCache>
                <c:ptCount val="3"/>
                <c:pt idx="0">
                  <c:v>高危漏洞</c:v>
                </c:pt>
                <c:pt idx="1">
                  <c:v>中危漏洞</c:v>
                </c:pt>
                <c:pt idx="2">
                  <c:v>低危漏洞</c:v>
                </c:pt>
              </c:strCache>
            </c:strRef>
          </c:cat>
          <c:val>
            <c:numRef>
              <c:f>数据统计!$D$83:$D$85</c:f>
              <c:numCache>
                <c:formatCode>General</c:formatCode>
                <c:ptCount val="3"/>
                <c:pt idx="0">
                  <c:v>2</c:v>
                </c:pt>
                <c:pt idx="1">
                  <c:v>4</c:v>
                </c:pt>
                <c:pt idx="2">
                  <c:v>2</c:v>
                </c:pt>
              </c:numCache>
            </c:numRef>
          </c:val>
        </c:ser>
        <c:dLbls>
          <c:showLegendKey val="0"/>
          <c:showVal val="1"/>
          <c:showCatName val="1"/>
          <c:showSerName val="0"/>
          <c:showPercent val="0"/>
          <c:showBubbleSize val="0"/>
          <c:showLeaderLines val="1"/>
        </c:dLbls>
        <c:firstSliceAng val="0"/>
        <c:holeSize val="50"/>
        <c:extLst>
          <c:ext xmlns:c15="http://schemas.microsoft.com/office/drawing/2012/chart" uri="{02D57815-91ED-43cb-92C2-25804820EDAC}">
            <c15:filteredPieSeries>
              <c15:ser>
                <c:idx val="0"/>
                <c:order val="1"/>
                <c:tx>
                  <c:strRef>
                    <c:extLst>
                      <c:ext uri="{02D57815-91ED-43cb-92C2-25804820EDAC}">
                        <c15:formulaRef>
                          <c15:sqref>数据统计!$E$82</c15:sqref>
                        </c15:formulaRef>
                      </c:ext>
                    </c:extLst>
                    <c:strCache>
                      <c:ptCount val="1"/>
                      <c:pt idx="0">
                        <c:v>已闭环数</c:v>
                      </c:pt>
                    </c:strCache>
                  </c:strRef>
                </c:tx>
                <c:spPr/>
                <c:explosion val="0"/>
                <c:dPt>
                  <c:idx val="0"/>
                  <c:bubble3D val="0"/>
                  <c:spPr>
                    <a:solidFill>
                      <a:schemeClr val="accent6"/>
                    </a:solidFill>
                    <a:ln>
                      <a:solidFill>
                        <a:schemeClr val="bg1"/>
                      </a:solidFill>
                    </a:ln>
                    <a:effectLst/>
                  </c:spPr>
                </c:dPt>
                <c:dPt>
                  <c:idx val="1"/>
                  <c:bubble3D val="0"/>
                  <c:spPr>
                    <a:solidFill>
                      <a:schemeClr val="accent5"/>
                    </a:solidFill>
                    <a:ln>
                      <a:solidFill>
                        <a:schemeClr val="bg1"/>
                      </a:solidFill>
                    </a:ln>
                    <a:effectLst/>
                  </c:spPr>
                </c:dPt>
                <c:dPt>
                  <c:idx val="2"/>
                  <c:bubble3D val="0"/>
                  <c:spPr>
                    <a:solidFill>
                      <a:schemeClr val="accent4"/>
                    </a:solidFill>
                    <a:ln>
                      <a:solidFill>
                        <a:schemeClr val="bg1"/>
                      </a:solidFill>
                    </a:ln>
                    <a:effectLst/>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showLegendKey val="0"/>
                    <c:showVal val="1"/>
                    <c:showCatName val="1"/>
                    <c:showSerName val="0"/>
                    <c:showPercent val="0"/>
                    <c:showBubbleSize val="0"/>
                    <c:separator>
</c:separator>
                    <c:extLst>
                      <c:ext xmlns:c15="http://schemas.microsoft.com/office/drawing/2012/chart" uri="{CE6537A1-D6FC-4f65-9D91-7224C49458BB}"/>
                    </c:extLst>
                  </c:dLbl>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showLegendKey val="0"/>
                  <c:showVal val="1"/>
                  <c:showCatName val="1"/>
                  <c:showSerName val="0"/>
                  <c:showPercent val="0"/>
                  <c:showBubbleSize val="0"/>
                  <c:separator>
</c:separator>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
                        </c15:fullRef>
                        <c15:formulaRef>
                          <c15:sqref>数据统计!$C$83:$C$85</c15:sqref>
                        </c15:formulaRef>
                      </c:ext>
                    </c:extLst>
                    <c:strCache>
                      <c:ptCount val="3"/>
                      <c:pt idx="0">
                        <c:v>高危漏洞</c:v>
                      </c:pt>
                      <c:pt idx="1">
                        <c:v>中危漏洞</c:v>
                      </c:pt>
                      <c:pt idx="2">
                        <c:v>低危漏洞</c:v>
                      </c:pt>
                    </c:strCache>
                  </c:strRef>
                </c:cat>
                <c:val>
                  <c:numRef>
                    <c:extLst>
                      <c:ext uri="{02D57815-91ED-43cb-92C2-25804820EDAC}">
                        <c15:formulaRef>
                          <c15:sqref>数据统计!$E$83:$E$85</c15:sqref>
                        </c15:formulaRef>
                      </c:ext>
                    </c:extLst>
                    <c:numCache>
                      <c:formatCode>General</c:formatCode>
                      <c:ptCount val="3"/>
                      <c:pt idx="0">
                        <c:v>0</c:v>
                      </c:pt>
                      <c:pt idx="1">
                        <c:v>0</c:v>
                      </c:pt>
                      <c:pt idx="2">
                        <c:v>0</c:v>
                      </c:pt>
                    </c:numCache>
                  </c:numRef>
                </c:val>
              </c15:ser>
            </c15:filteredPieSeries>
            <c15:filteredPieSeries>
              <c15:ser>
                <c:idx val="2"/>
                <c:order val="2"/>
                <c:tx>
                  <c:strRef>
                    <c:extLst>
                      <c:ext uri="{02D57815-91ED-43cb-92C2-25804820EDAC}">
                        <c15:formulaRef>
                          <c15:sqref>数据统计!$F$82</c15:sqref>
                        </c15:formulaRef>
                      </c:ext>
                    </c:extLst>
                    <c:strCache>
                      <c:ptCount val="1"/>
                      <c:pt idx="0">
                        <c:v>闭环率</c:v>
                      </c:pt>
                    </c:strCache>
                  </c:strRef>
                </c:tx>
                <c:spPr/>
                <c:explosion val="0"/>
                <c:dPt>
                  <c:idx val="0"/>
                  <c:bubble3D val="0"/>
                  <c:spPr>
                    <a:solidFill>
                      <a:schemeClr val="accent6"/>
                    </a:solidFill>
                    <a:ln>
                      <a:solidFill>
                        <a:schemeClr val="bg1"/>
                      </a:solidFill>
                    </a:ln>
                    <a:effectLst/>
                  </c:spPr>
                </c:dPt>
                <c:dPt>
                  <c:idx val="1"/>
                  <c:bubble3D val="0"/>
                  <c:spPr>
                    <a:solidFill>
                      <a:schemeClr val="accent5"/>
                    </a:solidFill>
                    <a:ln>
                      <a:solidFill>
                        <a:schemeClr val="bg1"/>
                      </a:solidFill>
                    </a:ln>
                    <a:effectLst/>
                  </c:spPr>
                </c:dPt>
                <c:dPt>
                  <c:idx val="2"/>
                  <c:bubble3D val="0"/>
                  <c:spPr>
                    <a:solidFill>
                      <a:schemeClr val="accent4"/>
                    </a:solidFill>
                    <a:ln>
                      <a:solidFill>
                        <a:schemeClr val="bg1"/>
                      </a:solidFill>
                    </a:ln>
                    <a:effectLst/>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showLegendKey val="0"/>
                    <c:showVal val="1"/>
                    <c:showCatName val="1"/>
                    <c:showSerName val="0"/>
                    <c:showPercent val="0"/>
                    <c:showBubbleSize val="0"/>
                    <c:separator>
</c:separator>
                    <c:extLst>
                      <c:ext xmlns:c15="http://schemas.microsoft.com/office/drawing/2012/chart" uri="{CE6537A1-D6FC-4f65-9D91-7224C49458BB}"/>
                    </c:extLst>
                  </c:dLbl>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showLegendKey val="0"/>
                  <c:showVal val="1"/>
                  <c:showCatName val="1"/>
                  <c:showSerName val="0"/>
                  <c:showPercent val="0"/>
                  <c:showBubbleSize val="0"/>
                  <c:separator>
</c:separator>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
                        </c15:fullRef>
                        <c15:formulaRef>
                          <c15:sqref>数据统计!$C$83:$C$85</c15:sqref>
                        </c15:formulaRef>
                      </c:ext>
                    </c:extLst>
                    <c:strCache>
                      <c:ptCount val="3"/>
                      <c:pt idx="0">
                        <c:v>高危漏洞</c:v>
                      </c:pt>
                      <c:pt idx="1">
                        <c:v>中危漏洞</c:v>
                      </c:pt>
                      <c:pt idx="2">
                        <c:v>低危漏洞</c:v>
                      </c:pt>
                    </c:strCache>
                  </c:strRef>
                </c:cat>
                <c:val>
                  <c:numRef>
                    <c:extLst>
                      <c:ext uri="{02D57815-91ED-43cb-92C2-25804820EDAC}">
                        <c15:formulaRef>
                          <c15:sqref>数据统计!$F$83:$F$85</c15:sqref>
                        </c15:formulaRef>
                      </c:ext>
                    </c:extLst>
                    <c:numCache>
                      <c:formatCode>0.00%</c:formatCode>
                      <c:ptCount val="3"/>
                      <c:pt idx="0">
                        <c:v>0</c:v>
                      </c:pt>
                      <c:pt idx="1">
                        <c:v>0</c:v>
                      </c:pt>
                      <c:pt idx="2">
                        <c:v>0</c:v>
                      </c:pt>
                    </c:numCache>
                  </c:numRef>
                </c:val>
              </c15:ser>
            </c15:filteredPieSeries>
          </c:ext>
        </c:extLst>
      </c:doughnutChart>
      <c:spPr>
        <a:noFill/>
        <a:ln>
          <a:noFill/>
        </a:ln>
        <a:effectLst/>
      </c:spPr>
    </c:plotArea>
    <c:plotVisOnly val="1"/>
    <c:dispBlanksAs val="gap"/>
    <c:showDLblsOverMax val="0"/>
  </c:chart>
  <c:spPr>
    <a:solidFill>
      <a:schemeClr val="bg1"/>
    </a:solidFill>
    <a:ln w="6350" cap="flat" cmpd="sng" algn="ctr">
      <a:solidFill>
        <a:schemeClr val="tx1">
          <a:lumMod val="50000"/>
          <a:lumOff val="50000"/>
          <a:alpha val="25000"/>
        </a:schemeClr>
      </a:solidFill>
      <a:round/>
    </a:ln>
    <a:effectLst/>
  </c:spPr>
  <c:txPr>
    <a:bodyPr/>
    <a:lstStyle/>
    <a:p>
      <a:pPr>
        <a:defRPr lang="zh-CN">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数据统计!$B$59</c:f>
              <c:strCache>
                <c:ptCount val="1"/>
                <c:pt idx="0">
                  <c:v>平均响应时长</c:v>
                </c:pt>
              </c:strCache>
            </c:strRef>
          </c:tx>
          <c:spPr>
            <a:ln w="28575" cap="rnd">
              <a:solidFill>
                <a:schemeClr val="accent1"/>
              </a:solidFill>
              <a:round/>
            </a:ln>
            <a:effectLst/>
          </c:spPr>
          <c:marker>
            <c:symbol val="none"/>
          </c:marker>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数据统计!$C$58:$K$58</c:f>
              <c:strCache>
                <c:ptCount val="9"/>
                <c:pt idx="0">
                  <c:v>2025-08</c:v>
                </c:pt>
                <c:pt idx="1" c:formatCode="yyyy/m/d">
                  <c:v>2025-09</c:v>
                </c:pt>
                <c:pt idx="2" c:formatCode="yyyy/m/d">
                  <c:v>2025-10</c:v>
                </c:pt>
                <c:pt idx="3" c:formatCode="yyyy/m/d">
                  <c:v>2025-11</c:v>
                </c:pt>
                <c:pt idx="4" c:formatCode="yyyy/m/d">
                  <c:v>2025-12</c:v>
                </c:pt>
                <c:pt idx="5" c:formatCode="yyyy/m/d">
                  <c:v>2026-01</c:v>
                </c:pt>
                <c:pt idx="6" c:formatCode="yyyy/m/d">
                  <c:v>2026-02</c:v>
                </c:pt>
                <c:pt idx="7" c:formatCode="yyyy/m/d">
                  <c:v>2026-03</c:v>
                </c:pt>
                <c:pt idx="8" c:formatCode="yyyy/m/d">
                  <c:v>2026-04</c:v>
                </c:pt>
              </c:strCache>
            </c:strRef>
          </c:cat>
          <c:val>
            <c:numRef>
              <c:f>数据统计!$C$59:$K$59</c:f>
              <c:numCache>
                <c:formatCode>0.00_ </c:formatCode>
                <c:ptCount val="9"/>
                <c:pt idx="0">
                  <c:v>1.04</c:v>
                </c:pt>
                <c:pt idx="1">
                  <c:v>0</c:v>
                </c:pt>
                <c:pt idx="2">
                  <c:v>30</c:v>
                </c:pt>
                <c:pt idx="3">
                  <c:v>4.75</c:v>
                </c:pt>
                <c:pt idx="4">
                  <c:v>0</c:v>
                </c:pt>
                <c:pt idx="5">
                  <c:v>0</c:v>
                </c:pt>
                <c:pt idx="6">
                  <c:v>8.285</c:v>
                </c:pt>
                <c:pt idx="7">
                  <c:v>5.53</c:v>
                </c:pt>
                <c:pt idx="8">
                  <c:v>0</c:v>
                </c:pt>
              </c:numCache>
            </c:numRef>
          </c:val>
          <c:smooth val="0"/>
        </c:ser>
        <c:dLbls>
          <c:showLegendKey val="0"/>
          <c:showVal val="1"/>
          <c:showCatName val="0"/>
          <c:showSerName val="0"/>
          <c:showPercent val="0"/>
          <c:showBubbleSize val="0"/>
        </c:dLbls>
        <c:marker val="0"/>
        <c:smooth val="0"/>
        <c:axId val="926048702"/>
        <c:axId val="51301949"/>
      </c:lineChart>
      <c:catAx>
        <c:axId val="92604870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1301949"/>
        <c:crosses val="autoZero"/>
        <c:auto val="1"/>
        <c:lblAlgn val="ctr"/>
        <c:lblOffset val="100"/>
        <c:noMultiLvlLbl val="0"/>
      </c:catAx>
      <c:valAx>
        <c:axId val="51301949"/>
        <c:scaling>
          <c:orientation val="minMax"/>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926048702"/>
        <c:crosses val="autoZero"/>
        <c:crossBetween val="between"/>
      </c:valAx>
      <c:spPr>
        <a:noFill/>
        <a:ln>
          <a:noFill/>
        </a:ln>
        <a:effectLst/>
      </c:spPr>
    </c:plotArea>
    <c:plotVisOnly val="1"/>
    <c:dispBlanksAs val="gap"/>
    <c:showDLblsOverMax val="0"/>
  </c:chart>
  <c:spPr>
    <a:noFill/>
    <a:ln w="9525" cap="flat" cmpd="sng" algn="ctr">
      <a:noFill/>
      <a:prstDash val="solid"/>
      <a:round/>
    </a:ln>
    <a:effectLst/>
  </c:spPr>
  <c:txPr>
    <a:bodyPr/>
    <a:lstStyle/>
    <a:p>
      <a:pPr>
        <a:defRPr lang="zh-CN" b="0">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数据统计!$B$87</c:f>
              <c:strCache>
                <c:ptCount val="1"/>
                <c:pt idx="0">
                  <c:v>剩余漏洞数量</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数据统计!$C$86:$N$86</c:f>
              <c:strCache>
                <c:ptCount val="12"/>
                <c:pt idx="0">
                  <c:v>2025-08</c:v>
                </c:pt>
                <c:pt idx="1" c:formatCode="yyyy/m/d">
                  <c:v>2025-09</c:v>
                </c:pt>
                <c:pt idx="2" c:formatCode="yyyy/m/d">
                  <c:v>2025-10</c:v>
                </c:pt>
                <c:pt idx="3" c:formatCode="yyyy/m/d">
                  <c:v>2025-11</c:v>
                </c:pt>
                <c:pt idx="4" c:formatCode="yyyy/m/d">
                  <c:v>2025-12</c:v>
                </c:pt>
                <c:pt idx="5" c:formatCode="yyyy/m/d">
                  <c:v>2026-01</c:v>
                </c:pt>
                <c:pt idx="6" c:formatCode="yyyy/m/d">
                  <c:v>2026-02</c:v>
                </c:pt>
                <c:pt idx="7" c:formatCode="yyyy/m/d">
                  <c:v>2026-03</c:v>
                </c:pt>
                <c:pt idx="8" c:formatCode="yyyy/m/d">
                  <c:v>2026-04</c:v>
                </c:pt>
                <c:pt idx="9" c:formatCode="yyyy/m/d">
                  <c:v>2026-05</c:v>
                </c:pt>
                <c:pt idx="10" c:formatCode="yyyy/m/d">
                  <c:v>2026-06</c:v>
                </c:pt>
                <c:pt idx="11" c:formatCode="yyyy/m/d">
                  <c:v>2026-07</c:v>
                </c:pt>
              </c:strCache>
            </c:strRef>
          </c:cat>
          <c:val>
            <c:numRef>
              <c:f>数据统计!$C$87:$N$87</c:f>
              <c:numCache>
                <c:formatCode>General</c:formatCode>
                <c:ptCount val="12"/>
                <c:pt idx="0">
                  <c:v>0</c:v>
                </c:pt>
                <c:pt idx="1">
                  <c:v>0</c:v>
                </c:pt>
                <c:pt idx="2">
                  <c:v>0</c:v>
                </c:pt>
                <c:pt idx="3">
                  <c:v>0</c:v>
                </c:pt>
                <c:pt idx="4">
                  <c:v>8</c:v>
                </c:pt>
                <c:pt idx="5">
                  <c:v>0</c:v>
                </c:pt>
                <c:pt idx="6">
                  <c:v>0</c:v>
                </c:pt>
                <c:pt idx="7">
                  <c:v>0</c:v>
                </c:pt>
                <c:pt idx="8">
                  <c:v>0</c:v>
                </c:pt>
                <c:pt idx="9">
                  <c:v>0</c:v>
                </c:pt>
                <c:pt idx="10">
                  <c:v>0</c:v>
                </c:pt>
                <c:pt idx="11">
                  <c:v>0</c:v>
                </c:pt>
              </c:numCache>
            </c:numRef>
          </c:val>
          <c:smooth val="0"/>
        </c:ser>
        <c:ser>
          <c:idx val="1"/>
          <c:order val="1"/>
          <c:tx>
            <c:strRef>
              <c:f>数据统计!$B$88</c:f>
              <c:strCache>
                <c:ptCount val="1"/>
                <c:pt idx="0">
                  <c:v>已闭环漏洞数</c:v>
                </c:pt>
              </c:strCache>
            </c:strRef>
          </c:tx>
          <c:spPr>
            <a:ln w="28575" cap="rnd">
              <a:solidFill>
                <a:schemeClr val="accent2"/>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数据统计!$C$86:$N$86</c:f>
              <c:strCache>
                <c:ptCount val="12"/>
                <c:pt idx="0">
                  <c:v>2025-08</c:v>
                </c:pt>
                <c:pt idx="1" c:formatCode="yyyy/m/d">
                  <c:v>2025-09</c:v>
                </c:pt>
                <c:pt idx="2" c:formatCode="yyyy/m/d">
                  <c:v>2025-10</c:v>
                </c:pt>
                <c:pt idx="3" c:formatCode="yyyy/m/d">
                  <c:v>2025-11</c:v>
                </c:pt>
                <c:pt idx="4" c:formatCode="yyyy/m/d">
                  <c:v>2025-12</c:v>
                </c:pt>
                <c:pt idx="5" c:formatCode="yyyy/m/d">
                  <c:v>2026-01</c:v>
                </c:pt>
                <c:pt idx="6" c:formatCode="yyyy/m/d">
                  <c:v>2026-02</c:v>
                </c:pt>
                <c:pt idx="7" c:formatCode="yyyy/m/d">
                  <c:v>2026-03</c:v>
                </c:pt>
                <c:pt idx="8" c:formatCode="yyyy/m/d">
                  <c:v>2026-04</c:v>
                </c:pt>
                <c:pt idx="9" c:formatCode="yyyy/m/d">
                  <c:v>2026-05</c:v>
                </c:pt>
                <c:pt idx="10" c:formatCode="yyyy/m/d">
                  <c:v>2026-06</c:v>
                </c:pt>
                <c:pt idx="11" c:formatCode="yyyy/m/d">
                  <c:v>2026-07</c:v>
                </c:pt>
              </c:strCache>
            </c:strRef>
          </c:cat>
          <c:val>
            <c:numRef>
              <c:f>数据统计!$C$88:$N$88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1"/>
          <c:showCatName val="0"/>
          <c:showSerName val="0"/>
          <c:showPercent val="0"/>
          <c:showBubbleSize val="0"/>
        </c:dLbls>
        <c:marker val="0"/>
        <c:smooth val="0"/>
        <c:axId val="829985891"/>
        <c:axId val="617127009"/>
      </c:lineChart>
      <c:dateAx>
        <c:axId val="82998589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n-lt"/>
                <a:ea typeface="+mn-ea"/>
                <a:cs typeface="+mn-cs"/>
              </a:defRPr>
            </a:pPr>
          </a:p>
        </c:txPr>
        <c:crossAx val="617127009"/>
        <c:crosses val="autoZero"/>
        <c:auto val="1"/>
        <c:lblAlgn val="ctr"/>
        <c:lblOffset val="100"/>
        <c:baseTimeUnit val="days"/>
      </c:dateAx>
      <c:valAx>
        <c:axId val="617127009"/>
        <c:scaling>
          <c:orientation val="minMax"/>
        </c:scaling>
        <c:delete val="1"/>
        <c:axPos val="l"/>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29985891"/>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noFill/>
    <a:ln w="9525" cap="flat" cmpd="sng" algn="ctr">
      <a:noFill/>
      <a:round/>
    </a:ln>
    <a:effectLst/>
  </c:spPr>
  <c:txPr>
    <a:bodyPr/>
    <a:lstStyle/>
    <a:p>
      <a:pPr>
        <a:defRPr lang="zh-CN"/>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10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1">
      <cs:styleClr val="auto"/>
    </cs:fillRef>
    <cs:effectRef idx="0"/>
    <cs:fontRef idx="minor">
      <a:schemeClr val="tx1"/>
    </cs:fontRef>
    <cs:spPr>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9" Type="http://schemas.openxmlformats.org/officeDocument/2006/relationships/chart" Target="../charts/chart9.xml"/><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0" Type="http://schemas.openxmlformats.org/officeDocument/2006/relationships/chart" Target="../charts/chart10.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291465</xdr:colOff>
      <xdr:row>15</xdr:row>
      <xdr:rowOff>36195</xdr:rowOff>
    </xdr:from>
    <xdr:to>
      <xdr:col>4</xdr:col>
      <xdr:colOff>337185</xdr:colOff>
      <xdr:row>16</xdr:row>
      <xdr:rowOff>108585</xdr:rowOff>
    </xdr:to>
    <xdr:sp>
      <xdr:nvSpPr>
        <xdr:cNvPr id="50" name="文本框 49" descr="7b0a20202020227461726765744d6f64756c65223a202270726f636573734f6e6c696e65466f6e7473220a7d0a"/>
        <xdr:cNvSpPr txBox="1"/>
      </xdr:nvSpPr>
      <xdr:spPr>
        <a:xfrm>
          <a:off x="291465" y="2832735"/>
          <a:ext cx="2514600" cy="255270"/>
        </a:xfrm>
        <a:prstGeom prst="rect">
          <a:avLst/>
        </a:prstGeom>
        <a:noFill/>
      </xdr:spPr>
      <xdr:txBody>
        <a:bodyPr wrap="square" rtlCol="0" anchor="ctr" anchorCtr="0">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0" lang="en-US" altLang="zh-CN" sz="1400" b="1" i="0" u="none" strike="noStrike" kern="0" cap="none" spc="0" normalizeH="0" baseline="0" noProof="0">
              <a:ln>
                <a:noFill/>
              </a:ln>
              <a:solidFill>
                <a:sysClr val="windowText" lastClr="000000"/>
              </a:solidFill>
              <a:effectLst/>
              <a:uLnTx/>
              <a:uFillTx/>
              <a:latin typeface="黑体" panose="02010609060101010101" charset="-122"/>
              <a:ea typeface="黑体" panose="02010609060101010101" charset="-122"/>
              <a:cs typeface="黑体" panose="02010609060101010101" charset="-122"/>
            </a:rPr>
            <a:t>资产分布</a:t>
          </a:r>
          <a:endParaRPr kumimoji="0" lang="en-US" altLang="zh-CN" sz="1400" b="1" i="0" u="none" strike="noStrike" kern="0" cap="none" spc="0" normalizeH="0" baseline="0" noProof="0">
            <a:ln>
              <a:noFill/>
            </a:ln>
            <a:solidFill>
              <a:sysClr val="windowText" lastClr="000000"/>
            </a:solidFill>
            <a:effectLst/>
            <a:uLnTx/>
            <a:uFillTx/>
            <a:latin typeface="黑体" panose="02010609060101010101" charset="-122"/>
            <a:ea typeface="黑体" panose="02010609060101010101" charset="-122"/>
            <a:cs typeface="黑体" panose="02010609060101010101" charset="-122"/>
          </a:endParaRPr>
        </a:p>
      </xdr:txBody>
    </xdr:sp>
    <xdr:clientData/>
  </xdr:twoCellAnchor>
  <xdr:twoCellAnchor>
    <xdr:from>
      <xdr:col>0</xdr:col>
      <xdr:colOff>153035</xdr:colOff>
      <xdr:row>28</xdr:row>
      <xdr:rowOff>52070</xdr:rowOff>
    </xdr:from>
    <xdr:to>
      <xdr:col>4</xdr:col>
      <xdr:colOff>202565</xdr:colOff>
      <xdr:row>29</xdr:row>
      <xdr:rowOff>127000</xdr:rowOff>
    </xdr:to>
    <xdr:sp>
      <xdr:nvSpPr>
        <xdr:cNvPr id="62" name="文本框 61" descr="7b0a20202020227461726765744d6f64756c65223a202270726f636573734f6e6c696e65466f6e7473220a7d0a"/>
        <xdr:cNvSpPr txBox="1"/>
      </xdr:nvSpPr>
      <xdr:spPr>
        <a:xfrm>
          <a:off x="153035" y="5226050"/>
          <a:ext cx="2518410" cy="257810"/>
        </a:xfrm>
        <a:prstGeom prst="rect">
          <a:avLst/>
        </a:prstGeom>
        <a:noFill/>
      </xdr:spPr>
      <xdr:txBody>
        <a:bodyPr wrap="square"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lang="en-US" altLang="zh-CN" sz="1400" b="1">
              <a:solidFill>
                <a:sysClr val="windowText" lastClr="000000"/>
              </a:solidFill>
              <a:latin typeface="黑体" panose="02010609060101010101" charset="-122"/>
              <a:ea typeface="黑体" panose="02010609060101010101" charset="-122"/>
              <a:cs typeface="黑体" panose="02010609060101010101" charset="-122"/>
            </a:rPr>
            <a:t>漏洞分布</a:t>
          </a:r>
          <a:endParaRPr lang="en-US" altLang="zh-CN" sz="1400" b="1">
            <a:solidFill>
              <a:sysClr val="windowText" lastClr="000000"/>
            </a:solidFill>
            <a:latin typeface="黑体" panose="02010609060101010101" charset="-122"/>
            <a:ea typeface="黑体" panose="02010609060101010101" charset="-122"/>
            <a:cs typeface="黑体" panose="02010609060101010101" charset="-122"/>
          </a:endParaRPr>
        </a:p>
      </xdr:txBody>
    </xdr:sp>
    <xdr:clientData/>
  </xdr:twoCellAnchor>
  <xdr:twoCellAnchor>
    <xdr:from>
      <xdr:col>6</xdr:col>
      <xdr:colOff>196850</xdr:colOff>
      <xdr:row>28</xdr:row>
      <xdr:rowOff>57150</xdr:rowOff>
    </xdr:from>
    <xdr:to>
      <xdr:col>10</xdr:col>
      <xdr:colOff>242570</xdr:colOff>
      <xdr:row>29</xdr:row>
      <xdr:rowOff>129540</xdr:rowOff>
    </xdr:to>
    <xdr:sp>
      <xdr:nvSpPr>
        <xdr:cNvPr id="66" name="文本框 65" descr="7b0a20202020227461726765744d6f64756c65223a202270726f636573734f6e6c696e65466f6e7473220a7d0a"/>
        <xdr:cNvSpPr txBox="1"/>
      </xdr:nvSpPr>
      <xdr:spPr>
        <a:xfrm>
          <a:off x="3900170" y="5231130"/>
          <a:ext cx="2514600" cy="255270"/>
        </a:xfrm>
        <a:prstGeom prst="rect">
          <a:avLst/>
        </a:prstGeom>
        <a:noFill/>
      </xdr:spPr>
      <xdr:txBody>
        <a:bodyPr wrap="square"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lang="en-US" altLang="zh-CN" sz="1400" b="1">
              <a:solidFill>
                <a:sysClr val="windowText" lastClr="000000"/>
              </a:solidFill>
              <a:latin typeface="黑体" panose="02010609060101010101" charset="-122"/>
              <a:ea typeface="黑体" panose="02010609060101010101" charset="-122"/>
              <a:cs typeface="黑体" panose="02010609060101010101" charset="-122"/>
            </a:rPr>
            <a:t>重要时期安全态势分析</a:t>
          </a:r>
          <a:endParaRPr lang="en-US" altLang="zh-CN" sz="1400" b="1">
            <a:solidFill>
              <a:sysClr val="windowText" lastClr="000000"/>
            </a:solidFill>
            <a:latin typeface="黑体" panose="02010609060101010101" charset="-122"/>
            <a:ea typeface="黑体" panose="02010609060101010101" charset="-122"/>
            <a:cs typeface="黑体" panose="02010609060101010101" charset="-122"/>
          </a:endParaRPr>
        </a:p>
      </xdr:txBody>
    </xdr:sp>
    <xdr:clientData/>
  </xdr:twoCellAnchor>
  <xdr:twoCellAnchor>
    <xdr:from>
      <xdr:col>0</xdr:col>
      <xdr:colOff>300355</xdr:colOff>
      <xdr:row>2</xdr:row>
      <xdr:rowOff>109855</xdr:rowOff>
    </xdr:from>
    <xdr:to>
      <xdr:col>4</xdr:col>
      <xdr:colOff>346096</xdr:colOff>
      <xdr:row>3</xdr:row>
      <xdr:rowOff>182561</xdr:rowOff>
    </xdr:to>
    <xdr:sp>
      <xdr:nvSpPr>
        <xdr:cNvPr id="70" name="文本框 69" descr="7b0a20202020227461726765744d6f64756c65223a202270726f636573734f6e6c696e65466f6e7473220a7d0a"/>
        <xdr:cNvSpPr txBox="1"/>
      </xdr:nvSpPr>
      <xdr:spPr>
        <a:xfrm>
          <a:off x="300355" y="475615"/>
          <a:ext cx="2514600" cy="255270"/>
        </a:xfrm>
        <a:prstGeom prst="rect">
          <a:avLst/>
        </a:prstGeom>
        <a:noFill/>
      </xdr:spPr>
      <xdr:txBody>
        <a:bodyPr wrap="square" rtlCol="0" anchor="ctr" anchorCtr="0">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defRPr/>
          </a:pPr>
          <a:r>
            <a:rPr kumimoji="0" lang="zh-CN" altLang="en-US" sz="1400" b="1" i="0" u="none" strike="noStrike" kern="0" cap="none" spc="0" normalizeH="0" baseline="0">
              <a:ln>
                <a:noFill/>
              </a:ln>
              <a:solidFill>
                <a:sysClr val="windowText" lastClr="000000"/>
              </a:solidFill>
              <a:effectLst/>
              <a:uLnTx/>
              <a:uFillTx/>
              <a:latin typeface="黑体" panose="02010609060101010101" charset="-122"/>
              <a:ea typeface="黑体" panose="02010609060101010101" charset="-122"/>
              <a:cs typeface="黑体" panose="02010609060101010101" charset="-122"/>
            </a:rPr>
            <a:t>事件</a:t>
          </a:r>
          <a:r>
            <a:rPr kumimoji="0" lang="en-US" altLang="zh-CN" sz="1400" b="1" i="0" u="none" strike="noStrike" kern="0" cap="none" spc="0" normalizeH="0" baseline="0">
              <a:ln>
                <a:noFill/>
              </a:ln>
              <a:solidFill>
                <a:sysClr val="windowText" lastClr="000000"/>
              </a:solidFill>
              <a:effectLst/>
              <a:uLnTx/>
              <a:uFillTx/>
              <a:latin typeface="黑体" panose="02010609060101010101" charset="-122"/>
              <a:ea typeface="黑体" panose="02010609060101010101" charset="-122"/>
              <a:cs typeface="黑体" panose="02010609060101010101" charset="-122"/>
            </a:rPr>
            <a:t>类型分布</a:t>
          </a:r>
          <a:endParaRPr kumimoji="0" lang="zh-CN" altLang="en-US" sz="1400" b="1" i="0" u="none" strike="noStrike" kern="0" cap="none" spc="0" normalizeH="0" baseline="0">
            <a:ln>
              <a:noFill/>
            </a:ln>
            <a:solidFill>
              <a:sysClr val="windowText" lastClr="000000"/>
            </a:solidFill>
            <a:effectLst/>
            <a:uLnTx/>
            <a:uFillTx/>
            <a:latin typeface="黑体" panose="02010609060101010101" charset="-122"/>
            <a:ea typeface="黑体" panose="02010609060101010101" charset="-122"/>
            <a:cs typeface="黑体" panose="02010609060101010101" charset="-122"/>
          </a:endParaRPr>
        </a:p>
      </xdr:txBody>
    </xdr:sp>
    <xdr:clientData/>
  </xdr:twoCellAnchor>
  <xdr:twoCellAnchor>
    <xdr:from>
      <xdr:col>6</xdr:col>
      <xdr:colOff>177800</xdr:colOff>
      <xdr:row>14</xdr:row>
      <xdr:rowOff>205740</xdr:rowOff>
    </xdr:from>
    <xdr:to>
      <xdr:col>10</xdr:col>
      <xdr:colOff>223541</xdr:colOff>
      <xdr:row>16</xdr:row>
      <xdr:rowOff>65086</xdr:rowOff>
    </xdr:to>
    <xdr:sp>
      <xdr:nvSpPr>
        <xdr:cNvPr id="42" name="文本框 41" descr="7b0a20202020227461726765744d6f64756c65223a202270726f636573734f6e6c696e65466f6e7473220a7d0a"/>
        <xdr:cNvSpPr txBox="1"/>
      </xdr:nvSpPr>
      <xdr:spPr>
        <a:xfrm>
          <a:off x="3881120" y="2796540"/>
          <a:ext cx="2514600" cy="247650"/>
        </a:xfrm>
        <a:prstGeom prst="rect">
          <a:avLst/>
        </a:prstGeom>
        <a:noFill/>
      </xdr:spPr>
      <xdr:txBody>
        <a:bodyPr wrap="square" rtlCol="0" anchor="ctr" anchorCtr="0">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defRPr/>
          </a:pPr>
          <a:r>
            <a:rPr kumimoji="0" lang="zh-CN" altLang="en-US" sz="1400" b="1" i="0" u="none" strike="noStrike" kern="0" cap="none" spc="0" normalizeH="0" baseline="0">
              <a:ln>
                <a:noFill/>
              </a:ln>
              <a:solidFill>
                <a:sysClr val="windowText" lastClr="000000"/>
              </a:solidFill>
              <a:effectLst/>
              <a:uLnTx/>
              <a:uFillTx/>
              <a:latin typeface="黑体" panose="02010609060101010101" charset="-122"/>
              <a:ea typeface="黑体" panose="02010609060101010101" charset="-122"/>
              <a:cs typeface="黑体" panose="02010609060101010101" charset="-122"/>
            </a:rPr>
            <a:t>年度安全</a:t>
          </a:r>
          <a:r>
            <a:rPr kumimoji="0" lang="en-US" altLang="zh-CN" sz="1400" b="1" i="0" u="none" strike="noStrike" kern="0" cap="none" spc="0" normalizeH="0" baseline="0">
              <a:ln>
                <a:noFill/>
              </a:ln>
              <a:solidFill>
                <a:sysClr val="windowText" lastClr="000000"/>
              </a:solidFill>
              <a:effectLst/>
              <a:uLnTx/>
              <a:uFillTx/>
              <a:latin typeface="黑体" panose="02010609060101010101" charset="-122"/>
              <a:ea typeface="黑体" panose="02010609060101010101" charset="-122"/>
              <a:cs typeface="黑体" panose="02010609060101010101" charset="-122"/>
            </a:rPr>
            <a:t>威胁趋势</a:t>
          </a:r>
          <a:endParaRPr kumimoji="0" lang="zh-CN" altLang="en-US" sz="1400" b="1" i="0" u="none" strike="noStrike" kern="0" cap="none" spc="0" normalizeH="0" baseline="0">
            <a:ln>
              <a:noFill/>
            </a:ln>
            <a:solidFill>
              <a:sysClr val="windowText" lastClr="000000"/>
            </a:solidFill>
            <a:effectLst/>
            <a:uLnTx/>
            <a:uFillTx/>
            <a:latin typeface="黑体" panose="02010609060101010101" charset="-122"/>
            <a:ea typeface="黑体" panose="02010609060101010101" charset="-122"/>
            <a:cs typeface="黑体" panose="02010609060101010101" charset="-122"/>
          </a:endParaRPr>
        </a:p>
      </xdr:txBody>
    </xdr:sp>
    <xdr:clientData/>
  </xdr:twoCellAnchor>
  <xdr:twoCellAnchor>
    <xdr:from>
      <xdr:col>7</xdr:col>
      <xdr:colOff>359571</xdr:colOff>
      <xdr:row>0</xdr:row>
      <xdr:rowOff>3810</xdr:rowOff>
    </xdr:from>
    <xdr:to>
      <xdr:col>14</xdr:col>
      <xdr:colOff>349618</xdr:colOff>
      <xdr:row>2</xdr:row>
      <xdr:rowOff>5222</xdr:rowOff>
    </xdr:to>
    <xdr:sp textlink="数据统计!D1">
      <xdr:nvSpPr>
        <xdr:cNvPr id="12" name="文本框 11" descr="7b0a20202020227461726765744d6f64756c65223a202270726f636573734f6e6c696e65466f6e7473220a7d0a"/>
        <xdr:cNvSpPr txBox="1"/>
      </xdr:nvSpPr>
      <xdr:spPr>
        <a:xfrm>
          <a:off x="4679950" y="3810"/>
          <a:ext cx="4310380" cy="367030"/>
        </a:xfrm>
        <a:prstGeom prst="rect">
          <a:avLst/>
        </a:prstGeom>
        <a:noFill/>
      </xdr:spPr>
      <xdr:txBody>
        <a:bodyPr wrap="square" rtlCol="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fld id="{7674E439-7D18-4D51-9B10-964C6DD3E554}" type="TxLink">
            <a:rPr lang="en-US" altLang="en-US" sz="1600" b="0" i="0" u="none" strike="noStrike">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rPr>
          </a:fld>
          <a:endParaRPr lang="en-US" altLang="en-US" sz="1600" b="0" i="0" u="none" strike="noStrike">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endParaRPr>
        </a:p>
      </xdr:txBody>
    </xdr:sp>
    <xdr:clientData/>
  </xdr:twoCellAnchor>
  <xdr:twoCellAnchor>
    <xdr:from>
      <xdr:col>9</xdr:col>
      <xdr:colOff>532402</xdr:colOff>
      <xdr:row>15</xdr:row>
      <xdr:rowOff>147230</xdr:rowOff>
    </xdr:from>
    <xdr:to>
      <xdr:col>12</xdr:col>
      <xdr:colOff>163285</xdr:colOff>
      <xdr:row>19</xdr:row>
      <xdr:rowOff>32658</xdr:rowOff>
    </xdr:to>
    <xdr:sp>
      <xdr:nvSpPr>
        <xdr:cNvPr id="80" name="矩形 79"/>
        <xdr:cNvSpPr/>
      </xdr:nvSpPr>
      <xdr:spPr>
        <a:xfrm>
          <a:off x="6087110" y="2943225"/>
          <a:ext cx="1482725" cy="6172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en-US" sz="2400" b="0" i="0" u="none" strike="noStrike">
            <a:solidFill>
              <a:srgbClr val="FFFF00"/>
            </a:solidFill>
            <a:latin typeface="宋体" panose="02010600030101010101" pitchFamily="7" charset="-122"/>
            <a:ea typeface="宋体" panose="02010600030101010101" pitchFamily="7" charset="-122"/>
            <a:cs typeface="Arial" panose="020B0604020202020204" pitchFamily="7" charset="0"/>
          </a:endParaRPr>
        </a:p>
      </xdr:txBody>
    </xdr:sp>
    <xdr:clientData/>
  </xdr:twoCellAnchor>
  <xdr:twoCellAnchor>
    <xdr:from>
      <xdr:col>6</xdr:col>
      <xdr:colOff>443865</xdr:colOff>
      <xdr:row>21</xdr:row>
      <xdr:rowOff>35560</xdr:rowOff>
    </xdr:from>
    <xdr:to>
      <xdr:col>9</xdr:col>
      <xdr:colOff>28171</xdr:colOff>
      <xdr:row>24</xdr:row>
      <xdr:rowOff>98649</xdr:rowOff>
    </xdr:to>
    <xdr:sp>
      <xdr:nvSpPr>
        <xdr:cNvPr id="91" name="矩形 90"/>
        <xdr:cNvSpPr/>
      </xdr:nvSpPr>
      <xdr:spPr>
        <a:xfrm>
          <a:off x="4147185" y="3929380"/>
          <a:ext cx="1435735" cy="6115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ltLang="en-US" sz="2000" b="0" i="0" u="none" strike="noStrike">
            <a:solidFill>
              <a:schemeClr val="bg1"/>
            </a:solidFill>
            <a:latin typeface="宋体" panose="02010600030101010101" pitchFamily="7" charset="-122"/>
            <a:ea typeface="宋体" panose="02010600030101010101" pitchFamily="7" charset="-122"/>
            <a:cs typeface="Arial" panose="020B0604020202020204" pitchFamily="7" charset="0"/>
          </a:endParaRPr>
        </a:p>
      </xdr:txBody>
    </xdr:sp>
    <xdr:clientData/>
  </xdr:twoCellAnchor>
  <xdr:twoCellAnchor>
    <xdr:from>
      <xdr:col>12</xdr:col>
      <xdr:colOff>526415</xdr:colOff>
      <xdr:row>21</xdr:row>
      <xdr:rowOff>47625</xdr:rowOff>
    </xdr:from>
    <xdr:to>
      <xdr:col>15</xdr:col>
      <xdr:colOff>110490</xdr:colOff>
      <xdr:row>24</xdr:row>
      <xdr:rowOff>110490</xdr:rowOff>
    </xdr:to>
    <xdr:sp>
      <xdr:nvSpPr>
        <xdr:cNvPr id="99" name="矩形 98"/>
        <xdr:cNvSpPr/>
      </xdr:nvSpPr>
      <xdr:spPr>
        <a:xfrm>
          <a:off x="7933055" y="3941445"/>
          <a:ext cx="1435735" cy="6115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defTabSz="914400" rtl="0" eaLnBrk="1" latinLnBrk="0" hangingPunct="1"/>
          <a:endParaRPr lang="en-US" altLang="en-US" sz="2000" b="0" i="0" u="none" strike="noStrike">
            <a:solidFill>
              <a:schemeClr val="bg1"/>
            </a:solidFill>
            <a:latin typeface="宋体" panose="02010600030101010101" pitchFamily="7" charset="-122"/>
            <a:ea typeface="宋体" panose="02010600030101010101" pitchFamily="7" charset="-122"/>
            <a:cs typeface="Arial" panose="020B0604020202020204" pitchFamily="7" charset="0"/>
          </a:endParaRPr>
        </a:p>
      </xdr:txBody>
    </xdr:sp>
    <xdr:clientData/>
  </xdr:twoCellAnchor>
  <xdr:twoCellAnchor>
    <xdr:from>
      <xdr:col>10</xdr:col>
      <xdr:colOff>89804</xdr:colOff>
      <xdr:row>6</xdr:row>
      <xdr:rowOff>43180</xdr:rowOff>
    </xdr:from>
    <xdr:to>
      <xdr:col>11</xdr:col>
      <xdr:colOff>549318</xdr:colOff>
      <xdr:row>9</xdr:row>
      <xdr:rowOff>109855</xdr:rowOff>
    </xdr:to>
    <xdr:sp>
      <xdr:nvSpPr>
        <xdr:cNvPr id="109" name="矩形 108"/>
        <xdr:cNvSpPr/>
      </xdr:nvSpPr>
      <xdr:spPr>
        <a:xfrm>
          <a:off x="6261735" y="1193800"/>
          <a:ext cx="1076960" cy="6153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defTabSz="914400" rtl="0" eaLnBrk="1" latinLnBrk="0" hangingPunct="1"/>
          <a:endParaRPr lang="en-US" altLang="en-US" sz="2000" b="0" i="0" u="none" strike="noStrike">
            <a:solidFill>
              <a:schemeClr val="bg1"/>
            </a:solidFill>
            <a:latin typeface="宋体" panose="02010600030101010101" pitchFamily="7" charset="-122"/>
            <a:ea typeface="宋体" panose="02010600030101010101" pitchFamily="7" charset="-122"/>
            <a:cs typeface="Arial" panose="020B0604020202020204" pitchFamily="7" charset="0"/>
          </a:endParaRPr>
        </a:p>
      </xdr:txBody>
    </xdr:sp>
    <xdr:clientData/>
  </xdr:twoCellAnchor>
  <xdr:twoCellAnchor>
    <xdr:from>
      <xdr:col>10</xdr:col>
      <xdr:colOff>213877</xdr:colOff>
      <xdr:row>1</xdr:row>
      <xdr:rowOff>112078</xdr:rowOff>
    </xdr:from>
    <xdr:to>
      <xdr:col>11</xdr:col>
      <xdr:colOff>495312</xdr:colOff>
      <xdr:row>3</xdr:row>
      <xdr:rowOff>5490</xdr:rowOff>
    </xdr:to>
    <xdr:sp>
      <xdr:nvSpPr>
        <xdr:cNvPr id="4" name="矩形 3"/>
        <xdr:cNvSpPr/>
      </xdr:nvSpPr>
      <xdr:spPr>
        <a:xfrm>
          <a:off x="6385560" y="294640"/>
          <a:ext cx="899160" cy="2590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defTabSz="914400" rtl="0" eaLnBrk="1" latinLnBrk="0" hangingPunct="1"/>
          <a:endParaRPr lang="en-US" altLang="en-US" sz="1100" b="0" i="0" u="none" strike="noStrike">
            <a:solidFill>
              <a:sysClr val="windowText" lastClr="000000"/>
            </a:solidFill>
            <a:latin typeface="宋体" panose="02010600030101010101" pitchFamily="7" charset="-122"/>
            <a:ea typeface="宋体" panose="02010600030101010101" pitchFamily="7" charset="-122"/>
            <a:cs typeface="+mn-cs"/>
          </a:endParaRPr>
        </a:p>
      </xdr:txBody>
    </xdr:sp>
    <xdr:clientData/>
  </xdr:twoCellAnchor>
  <xdr:twoCellAnchor>
    <xdr:from>
      <xdr:col>6</xdr:col>
      <xdr:colOff>349250</xdr:colOff>
      <xdr:row>4</xdr:row>
      <xdr:rowOff>211455</xdr:rowOff>
    </xdr:from>
    <xdr:to>
      <xdr:col>11</xdr:col>
      <xdr:colOff>388620</xdr:colOff>
      <xdr:row>13</xdr:row>
      <xdr:rowOff>162560</xdr:rowOff>
    </xdr:to>
    <xdr:graphicFrame>
      <xdr:nvGraphicFramePr>
        <xdr:cNvPr id="10" name="图表 9"/>
        <xdr:cNvGraphicFramePr/>
      </xdr:nvGraphicFramePr>
      <xdr:xfrm>
        <a:off x="4052570" y="967740"/>
        <a:ext cx="3125470" cy="1625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338455</xdr:colOff>
      <xdr:row>3</xdr:row>
      <xdr:rowOff>233045</xdr:rowOff>
    </xdr:from>
    <xdr:to>
      <xdr:col>5</xdr:col>
      <xdr:colOff>394970</xdr:colOff>
      <xdr:row>13</xdr:row>
      <xdr:rowOff>69215</xdr:rowOff>
    </xdr:to>
    <xdr:graphicFrame>
      <xdr:nvGraphicFramePr>
        <xdr:cNvPr id="25" name="图表 24" descr="7b0a202020202263686172745265734964223a20223230343736383734220a7d0a"/>
        <xdr:cNvGraphicFramePr/>
      </xdr:nvGraphicFramePr>
      <xdr:xfrm>
        <a:off x="338455" y="781685"/>
        <a:ext cx="3142615" cy="171831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309880</xdr:colOff>
      <xdr:row>17</xdr:row>
      <xdr:rowOff>31115</xdr:rowOff>
    </xdr:from>
    <xdr:to>
      <xdr:col>5</xdr:col>
      <xdr:colOff>408940</xdr:colOff>
      <xdr:row>26</xdr:row>
      <xdr:rowOff>69215</xdr:rowOff>
    </xdr:to>
    <xdr:graphicFrame>
      <xdr:nvGraphicFramePr>
        <xdr:cNvPr id="27" name="图表 26" descr="7b0a202020202263686172745265734964223a20223230323931393734220a7d0a"/>
        <xdr:cNvGraphicFramePr/>
      </xdr:nvGraphicFramePr>
      <xdr:xfrm>
        <a:off x="309880" y="3193415"/>
        <a:ext cx="3185160" cy="16840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206375</xdr:colOff>
      <xdr:row>17</xdr:row>
      <xdr:rowOff>29845</xdr:rowOff>
    </xdr:from>
    <xdr:to>
      <xdr:col>16</xdr:col>
      <xdr:colOff>106045</xdr:colOff>
      <xdr:row>26</xdr:row>
      <xdr:rowOff>140970</xdr:rowOff>
    </xdr:to>
    <xdr:graphicFrame>
      <xdr:nvGraphicFramePr>
        <xdr:cNvPr id="29" name="图表 28"/>
        <xdr:cNvGraphicFramePr/>
      </xdr:nvGraphicFramePr>
      <xdr:xfrm>
        <a:off x="3909695" y="3192145"/>
        <a:ext cx="6071870" cy="175704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523240</xdr:colOff>
      <xdr:row>54</xdr:row>
      <xdr:rowOff>99695</xdr:rowOff>
    </xdr:from>
    <xdr:to>
      <xdr:col>31</xdr:col>
      <xdr:colOff>274320</xdr:colOff>
      <xdr:row>67</xdr:row>
      <xdr:rowOff>211455</xdr:rowOff>
    </xdr:to>
    <xdr:graphicFrame>
      <xdr:nvGraphicFramePr>
        <xdr:cNvPr id="32" name="图表 31"/>
        <xdr:cNvGraphicFramePr/>
      </xdr:nvGraphicFramePr>
      <xdr:xfrm>
        <a:off x="14719300" y="10028555"/>
        <a:ext cx="5016500" cy="246062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351155</xdr:colOff>
      <xdr:row>54</xdr:row>
      <xdr:rowOff>65405</xdr:rowOff>
    </xdr:from>
    <xdr:to>
      <xdr:col>40</xdr:col>
      <xdr:colOff>417830</xdr:colOff>
      <xdr:row>67</xdr:row>
      <xdr:rowOff>34925</xdr:rowOff>
    </xdr:to>
    <xdr:graphicFrame>
      <xdr:nvGraphicFramePr>
        <xdr:cNvPr id="35" name="图表 34"/>
        <xdr:cNvGraphicFramePr/>
      </xdr:nvGraphicFramePr>
      <xdr:xfrm>
        <a:off x="20429855" y="9994265"/>
        <a:ext cx="5004435" cy="23469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310515</xdr:colOff>
      <xdr:row>3</xdr:row>
      <xdr:rowOff>30480</xdr:rowOff>
    </xdr:from>
    <xdr:to>
      <xdr:col>10</xdr:col>
      <xdr:colOff>358775</xdr:colOff>
      <xdr:row>4</xdr:row>
      <xdr:rowOff>40005</xdr:rowOff>
    </xdr:to>
    <xdr:sp>
      <xdr:nvSpPr>
        <xdr:cNvPr id="2" name="文本框 1" descr="7b0a20202020227461726765744d6f64756c65223a202270726f636573734f6e6c696e65466f6e7473220a7d0a"/>
        <xdr:cNvSpPr txBox="1"/>
      </xdr:nvSpPr>
      <xdr:spPr>
        <a:xfrm>
          <a:off x="4013835" y="579120"/>
          <a:ext cx="2517140" cy="245745"/>
        </a:xfrm>
        <a:prstGeom prst="rect">
          <a:avLst/>
        </a:prstGeom>
        <a:noFill/>
      </xdr:spPr>
      <xdr:txBody>
        <a:bodyPr wrap="square"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lang="en-US" altLang="zh-CN" sz="1400" b="1">
              <a:solidFill>
                <a:sysClr val="windowText" lastClr="000000"/>
              </a:solidFill>
              <a:latin typeface="黑体" panose="02010609060101010101" charset="-122"/>
              <a:ea typeface="黑体" panose="02010609060101010101" charset="-122"/>
              <a:cs typeface="黑体" panose="02010609060101010101" charset="-122"/>
            </a:rPr>
            <a:t>安全事件处置成效（分钟）</a:t>
          </a:r>
          <a:endParaRPr lang="en-US" altLang="zh-CN" sz="1400" b="1">
            <a:solidFill>
              <a:sysClr val="windowText" lastClr="000000"/>
            </a:solidFill>
            <a:latin typeface="黑体" panose="02010609060101010101" charset="-122"/>
            <a:ea typeface="黑体" panose="02010609060101010101" charset="-122"/>
            <a:cs typeface="黑体" panose="02010609060101010101" charset="-122"/>
          </a:endParaRPr>
        </a:p>
      </xdr:txBody>
    </xdr:sp>
    <xdr:clientData/>
  </xdr:twoCellAnchor>
  <xdr:twoCellAnchor>
    <xdr:from>
      <xdr:col>6</xdr:col>
      <xdr:colOff>241935</xdr:colOff>
      <xdr:row>30</xdr:row>
      <xdr:rowOff>61595</xdr:rowOff>
    </xdr:from>
    <xdr:to>
      <xdr:col>11</xdr:col>
      <xdr:colOff>330835</xdr:colOff>
      <xdr:row>39</xdr:row>
      <xdr:rowOff>163195</xdr:rowOff>
    </xdr:to>
    <xdr:graphicFrame>
      <xdr:nvGraphicFramePr>
        <xdr:cNvPr id="9" name="图表 8"/>
        <xdr:cNvGraphicFramePr/>
      </xdr:nvGraphicFramePr>
      <xdr:xfrm>
        <a:off x="3945255" y="5601335"/>
        <a:ext cx="3175000" cy="174752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188595</xdr:colOff>
      <xdr:row>30</xdr:row>
      <xdr:rowOff>41275</xdr:rowOff>
    </xdr:from>
    <xdr:to>
      <xdr:col>5</xdr:col>
      <xdr:colOff>273685</xdr:colOff>
      <xdr:row>39</xdr:row>
      <xdr:rowOff>142875</xdr:rowOff>
    </xdr:to>
    <xdr:graphicFrame>
      <xdr:nvGraphicFramePr>
        <xdr:cNvPr id="11" name="图表 10" descr="7b0a202020202263686172745265734964223a20223230343736353035220a7d0a"/>
        <xdr:cNvGraphicFramePr/>
      </xdr:nvGraphicFramePr>
      <xdr:xfrm>
        <a:off x="188595" y="5581015"/>
        <a:ext cx="3171190" cy="174752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330200</xdr:colOff>
      <xdr:row>4</xdr:row>
      <xdr:rowOff>32385</xdr:rowOff>
    </xdr:from>
    <xdr:to>
      <xdr:col>22</xdr:col>
      <xdr:colOff>281305</xdr:colOff>
      <xdr:row>14</xdr:row>
      <xdr:rowOff>41275</xdr:rowOff>
    </xdr:to>
    <xdr:graphicFrame>
      <xdr:nvGraphicFramePr>
        <xdr:cNvPr id="6" name="图表 5" descr="7b0a202020202263686172745265734964223a20223230343731343133220a7d0a"/>
        <xdr:cNvGraphicFramePr/>
      </xdr:nvGraphicFramePr>
      <xdr:xfrm>
        <a:off x="7736840" y="817245"/>
        <a:ext cx="6123305" cy="183769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461010</xdr:colOff>
      <xdr:row>2</xdr:row>
      <xdr:rowOff>162560</xdr:rowOff>
    </xdr:from>
    <xdr:to>
      <xdr:col>16</xdr:col>
      <xdr:colOff>506730</xdr:colOff>
      <xdr:row>3</xdr:row>
      <xdr:rowOff>234950</xdr:rowOff>
    </xdr:to>
    <xdr:sp>
      <xdr:nvSpPr>
        <xdr:cNvPr id="7" name="文本框 6" descr="7b0a20202020227461726765744d6f64756c65223a202270726f636573734f6e6c696e65466f6e7473220a7d0a"/>
        <xdr:cNvSpPr txBox="1"/>
      </xdr:nvSpPr>
      <xdr:spPr>
        <a:xfrm>
          <a:off x="7867650" y="528320"/>
          <a:ext cx="2514600" cy="255270"/>
        </a:xfrm>
        <a:prstGeom prst="rect">
          <a:avLst/>
        </a:prstGeom>
        <a:noFill/>
      </xdr:spPr>
      <xdr:txBody>
        <a:bodyPr wrap="square" rtlCol="0" anchor="ctr" anchorCtr="0">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defRPr/>
          </a:pPr>
          <a:r>
            <a:rPr kumimoji="0" lang="en-US" altLang="zh-CN" sz="1400" b="1" i="0" u="none" strike="noStrike" kern="0" cap="none" spc="0" normalizeH="0" baseline="0" noProof="0">
              <a:ln>
                <a:noFill/>
              </a:ln>
              <a:solidFill>
                <a:sysClr val="windowText" lastClr="000000"/>
              </a:solidFill>
              <a:effectLst/>
              <a:uLnTx/>
              <a:uFillTx/>
              <a:latin typeface="黑体" panose="02010609060101010101" charset="-122"/>
              <a:ea typeface="黑体" panose="02010609060101010101" charset="-122"/>
              <a:cs typeface="黑体" panose="02010609060101010101" charset="-122"/>
            </a:rPr>
            <a:t>平均响应趋势（分钟）</a:t>
          </a:r>
          <a:endParaRPr kumimoji="0" lang="en-US" altLang="zh-CN" sz="1400" b="1" i="0" u="none" strike="noStrike" kern="0" cap="none" spc="0" normalizeH="0" baseline="0" noProof="0">
            <a:ln>
              <a:noFill/>
            </a:ln>
            <a:solidFill>
              <a:sysClr val="windowText" lastClr="000000"/>
            </a:solidFill>
            <a:effectLst/>
            <a:uLnTx/>
            <a:uFillTx/>
            <a:latin typeface="黑体" panose="02010609060101010101" charset="-122"/>
            <a:ea typeface="黑体" panose="02010609060101010101" charset="-122"/>
            <a:cs typeface="黑体" panose="02010609060101010101" charset="-122"/>
          </a:endParaRPr>
        </a:p>
      </xdr:txBody>
    </xdr:sp>
    <xdr:clientData/>
  </xdr:twoCellAnchor>
  <xdr:twoCellAnchor>
    <xdr:from>
      <xdr:col>12</xdr:col>
      <xdr:colOff>417195</xdr:colOff>
      <xdr:row>30</xdr:row>
      <xdr:rowOff>82550</xdr:rowOff>
    </xdr:from>
    <xdr:to>
      <xdr:col>22</xdr:col>
      <xdr:colOff>316865</xdr:colOff>
      <xdr:row>39</xdr:row>
      <xdr:rowOff>193675</xdr:rowOff>
    </xdr:to>
    <xdr:graphicFrame>
      <xdr:nvGraphicFramePr>
        <xdr:cNvPr id="5" name="图表 4"/>
        <xdr:cNvGraphicFramePr/>
      </xdr:nvGraphicFramePr>
      <xdr:xfrm>
        <a:off x="7823835" y="5622290"/>
        <a:ext cx="6071870" cy="174625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534670</xdr:colOff>
      <xdr:row>28</xdr:row>
      <xdr:rowOff>13970</xdr:rowOff>
    </xdr:from>
    <xdr:to>
      <xdr:col>16</xdr:col>
      <xdr:colOff>580390</xdr:colOff>
      <xdr:row>29</xdr:row>
      <xdr:rowOff>86360</xdr:rowOff>
    </xdr:to>
    <xdr:sp>
      <xdr:nvSpPr>
        <xdr:cNvPr id="8" name="文本框 7" descr="7b0a20202020227461726765744d6f64756c65223a202270726f636573734f6e6c696e65466f6e7473220a7d0a"/>
        <xdr:cNvSpPr txBox="1"/>
      </xdr:nvSpPr>
      <xdr:spPr>
        <a:xfrm>
          <a:off x="7941310" y="5187950"/>
          <a:ext cx="2514600" cy="255270"/>
        </a:xfrm>
        <a:prstGeom prst="rect">
          <a:avLst/>
        </a:prstGeom>
        <a:noFill/>
      </xdr:spPr>
      <xdr:txBody>
        <a:bodyPr wrap="square"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l"/>
          <a:r>
            <a:rPr lang="en-US" altLang="zh-CN" sz="1400" b="1">
              <a:solidFill>
                <a:sysClr val="windowText" lastClr="000000"/>
              </a:solidFill>
              <a:latin typeface="黑体" panose="02010609060101010101" charset="-122"/>
              <a:ea typeface="黑体" panose="02010609060101010101" charset="-122"/>
              <a:cs typeface="黑体" panose="02010609060101010101" charset="-122"/>
            </a:rPr>
            <a:t>漏洞风险趋势</a:t>
          </a:r>
          <a:endParaRPr lang="en-US" altLang="zh-CN" sz="1400" b="1">
            <a:solidFill>
              <a:sysClr val="windowText" lastClr="000000"/>
            </a:solidFill>
            <a:latin typeface="黑体" panose="02010609060101010101" charset="-122"/>
            <a:ea typeface="黑体" panose="02010609060101010101" charset="-122"/>
            <a:cs typeface="黑体" panose="02010609060101010101" charset="-122"/>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1184910</xdr:colOff>
      <xdr:row>25</xdr:row>
      <xdr:rowOff>148590</xdr:rowOff>
    </xdr:from>
    <xdr:to>
      <xdr:col>7</xdr:col>
      <xdr:colOff>2164715</xdr:colOff>
      <xdr:row>28</xdr:row>
      <xdr:rowOff>87630</xdr:rowOff>
    </xdr:to>
    <xdr:pic>
      <xdr:nvPicPr>
        <xdr:cNvPr id="2" name="图片 1"/>
        <xdr:cNvPicPr>
          <a:picLocks noChangeAspect="1"/>
        </xdr:cNvPicPr>
      </xdr:nvPicPr>
      <xdr:blipFill>
        <a:blip r:embed="rId1"/>
        <a:stretch>
          <a:fillRect/>
        </a:stretch>
      </xdr:blipFill>
      <xdr:spPr>
        <a:xfrm>
          <a:off x="10449560" y="6734810"/>
          <a:ext cx="979805" cy="48768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7</xdr:col>
      <xdr:colOff>167640</xdr:colOff>
      <xdr:row>0</xdr:row>
      <xdr:rowOff>66675</xdr:rowOff>
    </xdr:from>
    <xdr:to>
      <xdr:col>10</xdr:col>
      <xdr:colOff>2428240</xdr:colOff>
      <xdr:row>9</xdr:row>
      <xdr:rowOff>55245</xdr:rowOff>
    </xdr:to>
    <xdr:pic>
      <xdr:nvPicPr>
        <xdr:cNvPr id="2" name="ECB019B1-382A-4266-B25C-5B523AA43C14-1" descr="/Users/sangfor/Downloads/外部交付物/漏洞管理工作流程图.png漏洞管理工作流程图"/>
        <xdr:cNvPicPr/>
      </xdr:nvPicPr>
      <xdr:blipFill>
        <a:blip r:embed="rId1"/>
        <a:srcRect/>
        <a:stretch>
          <a:fillRect/>
        </a:stretch>
      </xdr:blipFill>
      <xdr:spPr>
        <a:xfrm>
          <a:off x="10047605" y="66675"/>
          <a:ext cx="7412355" cy="4404360"/>
        </a:xfrm>
        <a:prstGeom prst="rect">
          <a:avLst/>
        </a:prstGeom>
      </xdr:spPr>
    </xdr:pic>
    <xdr:clientData/>
  </xdr:twoCellAnchor>
  <xdr:twoCellAnchor editAs="oneCell">
    <xdr:from>
      <xdr:col>7</xdr:col>
      <xdr:colOff>167640</xdr:colOff>
      <xdr:row>9</xdr:row>
      <xdr:rowOff>92710</xdr:rowOff>
    </xdr:from>
    <xdr:to>
      <xdr:col>10</xdr:col>
      <xdr:colOff>2442210</xdr:colOff>
      <xdr:row>14</xdr:row>
      <xdr:rowOff>281305</xdr:rowOff>
    </xdr:to>
    <xdr:pic>
      <xdr:nvPicPr>
        <xdr:cNvPr id="4" name="图片 3"/>
        <xdr:cNvPicPr/>
      </xdr:nvPicPr>
      <xdr:blipFill>
        <a:blip r:embed="rId2"/>
        <a:stretch>
          <a:fillRect/>
        </a:stretch>
      </xdr:blipFill>
      <xdr:spPr>
        <a:xfrm>
          <a:off x="10047605" y="4508500"/>
          <a:ext cx="7426325" cy="397383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AD43"/>
  <sheetViews>
    <sheetView showGridLines="0" topLeftCell="A6" workbookViewId="0">
      <selection activeCell="S24" sqref="S24"/>
    </sheetView>
  </sheetViews>
  <sheetFormatPr defaultColWidth="9" defaultRowHeight="14.4"/>
  <cols>
    <col min="1" max="24" width="9" style="195"/>
    <col min="25" max="25" width="13.7777777777778" style="195" customWidth="1"/>
    <col min="26" max="16384" width="9" style="195"/>
  </cols>
  <sheetData>
    <row r="1" spans="1:24">
      <c r="A1" s="196"/>
      <c r="B1" s="196"/>
      <c r="C1" s="196"/>
      <c r="D1" s="196"/>
      <c r="E1" s="196"/>
      <c r="F1" s="196"/>
      <c r="G1" s="196"/>
      <c r="H1" s="196"/>
      <c r="I1" s="196"/>
      <c r="J1" s="196"/>
      <c r="K1" s="196"/>
      <c r="L1" s="196"/>
      <c r="M1" s="196"/>
      <c r="N1" s="196"/>
      <c r="O1" s="196"/>
      <c r="P1" s="196"/>
      <c r="Q1" s="196"/>
      <c r="R1" s="196"/>
      <c r="S1" s="196"/>
      <c r="T1" s="196"/>
      <c r="U1" s="196"/>
      <c r="V1" s="196"/>
      <c r="W1" s="196"/>
      <c r="X1" s="196"/>
    </row>
    <row r="2" spans="1:24">
      <c r="A2" s="196"/>
      <c r="B2" s="196"/>
      <c r="C2" s="196"/>
      <c r="D2" s="196"/>
      <c r="E2" s="196"/>
      <c r="F2" s="196"/>
      <c r="G2" s="196"/>
      <c r="H2" s="196"/>
      <c r="I2" s="196"/>
      <c r="J2" s="196"/>
      <c r="K2" s="196"/>
      <c r="L2" s="196"/>
      <c r="M2" s="196"/>
      <c r="N2" s="196"/>
      <c r="O2" s="196"/>
      <c r="P2" s="196"/>
      <c r="Q2" s="196"/>
      <c r="R2" s="196"/>
      <c r="S2" s="196"/>
      <c r="T2" s="196"/>
      <c r="U2" s="196"/>
      <c r="V2" s="196"/>
      <c r="W2" s="196"/>
      <c r="X2" s="196"/>
    </row>
    <row r="3" spans="1:24">
      <c r="A3" s="196"/>
      <c r="B3" s="196"/>
      <c r="C3" s="196"/>
      <c r="D3" s="196"/>
      <c r="E3" s="196"/>
      <c r="F3" s="196"/>
      <c r="G3" s="196"/>
      <c r="H3" s="196"/>
      <c r="I3" s="196"/>
      <c r="J3" s="196"/>
      <c r="K3" s="196"/>
      <c r="L3" s="196"/>
      <c r="M3" s="196"/>
      <c r="N3" s="196"/>
      <c r="O3" s="196"/>
      <c r="P3" s="196"/>
      <c r="Q3" s="196"/>
      <c r="R3" s="196"/>
      <c r="S3" s="196"/>
      <c r="T3" s="196"/>
      <c r="U3" s="196"/>
      <c r="V3" s="196"/>
      <c r="W3" s="196"/>
      <c r="X3" s="196"/>
    </row>
    <row r="4" ht="18.6" spans="1:30">
      <c r="A4" s="196"/>
      <c r="B4" s="196"/>
      <c r="C4" s="196"/>
      <c r="D4" s="196"/>
      <c r="E4" s="196"/>
      <c r="F4" s="196"/>
      <c r="G4" s="196"/>
      <c r="H4" s="196"/>
      <c r="I4" s="196"/>
      <c r="J4" s="196"/>
      <c r="K4" s="196"/>
      <c r="L4" s="196"/>
      <c r="M4" s="196"/>
      <c r="N4" s="196"/>
      <c r="O4" s="196"/>
      <c r="P4" s="196"/>
      <c r="Q4" s="196"/>
      <c r="R4" s="196"/>
      <c r="S4" s="196"/>
      <c r="T4" s="196"/>
      <c r="U4" s="196"/>
      <c r="V4" s="196"/>
      <c r="W4" s="196"/>
      <c r="X4" s="196"/>
      <c r="AD4" s="197"/>
    </row>
    <row r="5" spans="1:24">
      <c r="A5" s="196"/>
      <c r="B5" s="196"/>
      <c r="C5" s="196"/>
      <c r="D5" s="196"/>
      <c r="E5" s="196"/>
      <c r="F5" s="196"/>
      <c r="G5" s="196"/>
      <c r="H5" s="196"/>
      <c r="I5" s="196"/>
      <c r="J5" s="196"/>
      <c r="K5" s="196"/>
      <c r="L5" s="196"/>
      <c r="M5" s="196"/>
      <c r="N5" s="196"/>
      <c r="O5" s="196"/>
      <c r="P5" s="196"/>
      <c r="Q5" s="196"/>
      <c r="R5" s="196"/>
      <c r="S5" s="196"/>
      <c r="T5" s="196"/>
      <c r="U5" s="196"/>
      <c r="V5" s="196"/>
      <c r="W5" s="196"/>
      <c r="X5" s="196"/>
    </row>
    <row r="6" spans="1:24">
      <c r="A6" s="196"/>
      <c r="B6" s="196"/>
      <c r="C6" s="196"/>
      <c r="D6" s="196"/>
      <c r="E6" s="196"/>
      <c r="F6" s="196"/>
      <c r="G6" s="196"/>
      <c r="H6" s="196"/>
      <c r="I6" s="196"/>
      <c r="J6" s="196"/>
      <c r="K6" s="196"/>
      <c r="L6" s="196"/>
      <c r="M6" s="196"/>
      <c r="N6" s="196"/>
      <c r="O6" s="196"/>
      <c r="P6" s="196"/>
      <c r="Q6" s="196"/>
      <c r="R6" s="196"/>
      <c r="S6" s="196"/>
      <c r="T6" s="196"/>
      <c r="U6" s="196"/>
      <c r="V6" s="196"/>
      <c r="W6" s="196"/>
      <c r="X6" s="196"/>
    </row>
    <row r="7" spans="1:24">
      <c r="A7" s="196"/>
      <c r="B7" s="196"/>
      <c r="C7" s="196"/>
      <c r="D7" s="196"/>
      <c r="E7" s="196"/>
      <c r="F7" s="196"/>
      <c r="G7" s="196"/>
      <c r="H7" s="196"/>
      <c r="I7" s="196"/>
      <c r="J7" s="196"/>
      <c r="K7" s="196"/>
      <c r="L7" s="196"/>
      <c r="M7" s="196"/>
      <c r="N7" s="196"/>
      <c r="O7" s="196"/>
      <c r="P7" s="196"/>
      <c r="Q7" s="196"/>
      <c r="R7" s="196"/>
      <c r="S7" s="196"/>
      <c r="T7" s="196"/>
      <c r="U7" s="196"/>
      <c r="V7" s="196"/>
      <c r="W7" s="196"/>
      <c r="X7" s="196"/>
    </row>
    <row r="8" spans="1:24">
      <c r="A8" s="196"/>
      <c r="B8" s="196"/>
      <c r="C8" s="196"/>
      <c r="D8" s="196"/>
      <c r="E8" s="196"/>
      <c r="F8" s="196"/>
      <c r="G8" s="196"/>
      <c r="H8" s="196"/>
      <c r="I8" s="196"/>
      <c r="J8" s="196"/>
      <c r="K8" s="196"/>
      <c r="L8" s="196"/>
      <c r="M8" s="196"/>
      <c r="N8" s="196"/>
      <c r="O8" s="196"/>
      <c r="P8" s="196"/>
      <c r="Q8" s="196"/>
      <c r="R8" s="196"/>
      <c r="S8" s="196"/>
      <c r="T8" s="196"/>
      <c r="U8" s="196"/>
      <c r="V8" s="196"/>
      <c r="W8" s="196"/>
      <c r="X8" s="196"/>
    </row>
    <row r="9" spans="1:24">
      <c r="A9" s="196"/>
      <c r="B9" s="196"/>
      <c r="C9" s="196"/>
      <c r="D9" s="196"/>
      <c r="E9" s="196"/>
      <c r="F9" s="196"/>
      <c r="G9" s="196"/>
      <c r="H9" s="196"/>
      <c r="I9" s="196"/>
      <c r="J9" s="196"/>
      <c r="K9" s="196"/>
      <c r="L9" s="196"/>
      <c r="M9" s="196"/>
      <c r="N9" s="196"/>
      <c r="O9" s="196"/>
      <c r="P9" s="196"/>
      <c r="Q9" s="196"/>
      <c r="R9" s="196"/>
      <c r="S9" s="196"/>
      <c r="T9" s="196"/>
      <c r="U9" s="196"/>
      <c r="V9" s="196"/>
      <c r="W9" s="196"/>
      <c r="X9" s="196"/>
    </row>
    <row r="10" spans="1:24">
      <c r="A10" s="196"/>
      <c r="B10" s="196"/>
      <c r="C10" s="196"/>
      <c r="D10" s="196"/>
      <c r="E10" s="196"/>
      <c r="F10" s="196"/>
      <c r="G10" s="196"/>
      <c r="H10" s="196"/>
      <c r="I10" s="196"/>
      <c r="J10" s="196"/>
      <c r="K10" s="196"/>
      <c r="L10" s="196"/>
      <c r="M10" s="196"/>
      <c r="N10" s="196"/>
      <c r="O10" s="196"/>
      <c r="P10" s="196"/>
      <c r="Q10" s="196"/>
      <c r="R10" s="196"/>
      <c r="S10" s="196"/>
      <c r="T10" s="196"/>
      <c r="U10" s="196"/>
      <c r="V10" s="196"/>
      <c r="W10" s="196"/>
      <c r="X10" s="196"/>
    </row>
    <row r="11" spans="1:24">
      <c r="A11" s="196"/>
      <c r="B11" s="196"/>
      <c r="C11" s="196"/>
      <c r="D11" s="196"/>
      <c r="E11" s="196"/>
      <c r="F11" s="196"/>
      <c r="G11" s="196"/>
      <c r="H11" s="196"/>
      <c r="I11" s="196"/>
      <c r="J11" s="196"/>
      <c r="K11" s="196"/>
      <c r="L11" s="196"/>
      <c r="M11" s="196"/>
      <c r="N11" s="196"/>
      <c r="O11" s="196"/>
      <c r="P11" s="196"/>
      <c r="Q11" s="196"/>
      <c r="R11" s="196"/>
      <c r="S11" s="196"/>
      <c r="T11" s="196"/>
      <c r="U11" s="196"/>
      <c r="V11" s="196"/>
      <c r="W11" s="196"/>
      <c r="X11" s="196"/>
    </row>
    <row r="12" spans="1:24">
      <c r="A12" s="196"/>
      <c r="B12" s="196"/>
      <c r="C12" s="196"/>
      <c r="D12" s="196"/>
      <c r="E12" s="196"/>
      <c r="F12" s="196"/>
      <c r="G12" s="196"/>
      <c r="H12" s="196"/>
      <c r="I12" s="196"/>
      <c r="J12" s="196"/>
      <c r="K12" s="196"/>
      <c r="L12" s="196"/>
      <c r="M12" s="196"/>
      <c r="N12" s="196"/>
      <c r="O12" s="196"/>
      <c r="P12" s="196"/>
      <c r="Q12" s="196"/>
      <c r="R12" s="196"/>
      <c r="S12" s="196"/>
      <c r="T12" s="196"/>
      <c r="U12" s="196"/>
      <c r="V12" s="196"/>
      <c r="W12" s="196"/>
      <c r="X12" s="196"/>
    </row>
    <row r="13" spans="1:24">
      <c r="A13" s="196"/>
      <c r="B13" s="196"/>
      <c r="C13" s="196"/>
      <c r="D13" s="196"/>
      <c r="E13" s="196"/>
      <c r="F13" s="196"/>
      <c r="G13" s="196"/>
      <c r="H13" s="196"/>
      <c r="I13" s="196"/>
      <c r="J13" s="196"/>
      <c r="K13" s="196"/>
      <c r="L13" s="196"/>
      <c r="M13" s="196"/>
      <c r="N13" s="196"/>
      <c r="O13" s="196"/>
      <c r="P13" s="196"/>
      <c r="Q13" s="196"/>
      <c r="R13" s="196"/>
      <c r="S13" s="196"/>
      <c r="T13" s="196"/>
      <c r="U13" s="196"/>
      <c r="V13" s="196"/>
      <c r="W13" s="196"/>
      <c r="X13" s="196"/>
    </row>
    <row r="14" spans="1:24">
      <c r="A14" s="196"/>
      <c r="B14" s="196"/>
      <c r="C14" s="196"/>
      <c r="D14" s="196"/>
      <c r="E14" s="196"/>
      <c r="F14" s="196"/>
      <c r="G14" s="196"/>
      <c r="H14" s="196"/>
      <c r="I14" s="196"/>
      <c r="J14" s="196"/>
      <c r="K14" s="196"/>
      <c r="L14" s="196"/>
      <c r="M14" s="196"/>
      <c r="N14" s="196"/>
      <c r="O14" s="196"/>
      <c r="P14" s="196"/>
      <c r="Q14" s="196"/>
      <c r="R14" s="196"/>
      <c r="S14" s="196"/>
      <c r="T14" s="196"/>
      <c r="U14" s="196"/>
      <c r="V14" s="196"/>
      <c r="W14" s="196"/>
      <c r="X14" s="196"/>
    </row>
    <row r="15" spans="1:24">
      <c r="A15" s="196"/>
      <c r="B15" s="196"/>
      <c r="C15" s="196"/>
      <c r="D15" s="196"/>
      <c r="E15" s="196"/>
      <c r="F15" s="196"/>
      <c r="G15" s="196"/>
      <c r="H15" s="196"/>
      <c r="I15" s="196"/>
      <c r="J15" s="196"/>
      <c r="K15" s="196"/>
      <c r="L15" s="196"/>
      <c r="M15" s="196"/>
      <c r="N15" s="196"/>
      <c r="O15" s="196"/>
      <c r="P15" s="196"/>
      <c r="Q15" s="196"/>
      <c r="R15" s="196"/>
      <c r="S15" s="196"/>
      <c r="T15" s="196"/>
      <c r="U15" s="196"/>
      <c r="V15" s="196"/>
      <c r="W15" s="196"/>
      <c r="X15" s="196"/>
    </row>
    <row r="16" spans="1:24">
      <c r="A16" s="196"/>
      <c r="B16" s="196"/>
      <c r="C16" s="196"/>
      <c r="D16" s="196"/>
      <c r="E16" s="196"/>
      <c r="F16" s="196"/>
      <c r="G16" s="196"/>
      <c r="H16" s="196"/>
      <c r="I16" s="196"/>
      <c r="J16" s="196"/>
      <c r="K16" s="196"/>
      <c r="L16" s="196"/>
      <c r="M16" s="196"/>
      <c r="N16" s="196"/>
      <c r="O16" s="196"/>
      <c r="P16" s="196"/>
      <c r="Q16" s="196"/>
      <c r="R16" s="196"/>
      <c r="S16" s="196"/>
      <c r="T16" s="196"/>
      <c r="U16" s="196"/>
      <c r="V16" s="196"/>
      <c r="W16" s="196"/>
      <c r="X16" s="196"/>
    </row>
    <row r="17" spans="1:24">
      <c r="A17" s="196"/>
      <c r="B17" s="196"/>
      <c r="C17" s="196"/>
      <c r="D17" s="196"/>
      <c r="E17" s="196"/>
      <c r="F17" s="196"/>
      <c r="G17" s="196"/>
      <c r="H17" s="196"/>
      <c r="I17" s="196"/>
      <c r="J17" s="196"/>
      <c r="K17" s="196"/>
      <c r="L17" s="196"/>
      <c r="M17" s="196"/>
      <c r="N17" s="196"/>
      <c r="O17" s="196"/>
      <c r="P17" s="196"/>
      <c r="Q17" s="196"/>
      <c r="R17" s="196"/>
      <c r="S17" s="196"/>
      <c r="T17" s="196"/>
      <c r="U17" s="196"/>
      <c r="V17" s="196"/>
      <c r="W17" s="196"/>
      <c r="X17" s="196"/>
    </row>
    <row r="18" spans="1:24">
      <c r="A18" s="196"/>
      <c r="B18" s="196"/>
      <c r="C18" s="196"/>
      <c r="D18" s="196"/>
      <c r="E18" s="196"/>
      <c r="F18" s="196"/>
      <c r="G18" s="196"/>
      <c r="H18" s="196"/>
      <c r="I18" s="196"/>
      <c r="J18" s="196"/>
      <c r="K18" s="196"/>
      <c r="L18" s="196"/>
      <c r="M18" s="196"/>
      <c r="N18" s="196"/>
      <c r="O18" s="196"/>
      <c r="P18" s="196"/>
      <c r="Q18" s="196"/>
      <c r="R18" s="196"/>
      <c r="S18" s="196"/>
      <c r="T18" s="196"/>
      <c r="U18" s="196"/>
      <c r="V18" s="196"/>
      <c r="W18" s="196"/>
      <c r="X18" s="196"/>
    </row>
    <row r="19" spans="1:24">
      <c r="A19" s="196"/>
      <c r="B19" s="196"/>
      <c r="C19" s="196"/>
      <c r="D19" s="196"/>
      <c r="E19" s="196"/>
      <c r="F19" s="196"/>
      <c r="G19" s="196"/>
      <c r="H19" s="196"/>
      <c r="I19" s="196"/>
      <c r="J19" s="196"/>
      <c r="K19" s="196"/>
      <c r="L19" s="196"/>
      <c r="M19" s="196"/>
      <c r="N19" s="196"/>
      <c r="O19" s="196"/>
      <c r="P19" s="196"/>
      <c r="Q19" s="196"/>
      <c r="R19" s="196"/>
      <c r="S19" s="196"/>
      <c r="T19" s="196"/>
      <c r="U19" s="196"/>
      <c r="V19" s="196"/>
      <c r="W19" s="196"/>
      <c r="X19" s="196"/>
    </row>
    <row r="20" spans="1:24">
      <c r="A20" s="196"/>
      <c r="B20" s="196"/>
      <c r="C20" s="196"/>
      <c r="D20" s="196"/>
      <c r="E20" s="196"/>
      <c r="F20" s="196"/>
      <c r="G20" s="196"/>
      <c r="H20" s="196"/>
      <c r="I20" s="196"/>
      <c r="J20" s="196"/>
      <c r="K20" s="196"/>
      <c r="L20" s="196"/>
      <c r="M20" s="196"/>
      <c r="N20" s="196"/>
      <c r="O20" s="196"/>
      <c r="P20" s="196"/>
      <c r="Q20" s="196"/>
      <c r="R20" s="196"/>
      <c r="S20" s="196"/>
      <c r="T20" s="196"/>
      <c r="U20" s="196"/>
      <c r="V20" s="196"/>
      <c r="W20" s="196"/>
      <c r="X20" s="196"/>
    </row>
    <row r="21" spans="1:24">
      <c r="A21" s="196"/>
      <c r="B21" s="196"/>
      <c r="C21" s="196"/>
      <c r="D21" s="196"/>
      <c r="E21" s="196"/>
      <c r="F21" s="196"/>
      <c r="G21" s="196"/>
      <c r="H21" s="196"/>
      <c r="I21" s="196"/>
      <c r="J21" s="196"/>
      <c r="K21" s="196"/>
      <c r="L21" s="196"/>
      <c r="M21" s="196"/>
      <c r="N21" s="196"/>
      <c r="O21" s="196"/>
      <c r="P21" s="196"/>
      <c r="Q21" s="196"/>
      <c r="R21" s="196"/>
      <c r="S21" s="196"/>
      <c r="T21" s="196"/>
      <c r="U21" s="196"/>
      <c r="V21" s="196"/>
      <c r="W21" s="196"/>
      <c r="X21" s="196"/>
    </row>
    <row r="22" spans="1:24">
      <c r="A22" s="196"/>
      <c r="B22" s="196"/>
      <c r="C22" s="196"/>
      <c r="D22" s="196"/>
      <c r="E22" s="196"/>
      <c r="F22" s="196"/>
      <c r="G22" s="196"/>
      <c r="H22" s="196"/>
      <c r="I22" s="196"/>
      <c r="J22" s="196"/>
      <c r="K22" s="196"/>
      <c r="L22" s="196"/>
      <c r="M22" s="196"/>
      <c r="N22" s="196"/>
      <c r="O22" s="196"/>
      <c r="P22" s="196"/>
      <c r="Q22" s="196"/>
      <c r="R22" s="196"/>
      <c r="S22" s="196"/>
      <c r="T22" s="196"/>
      <c r="U22" s="196"/>
      <c r="V22" s="196"/>
      <c r="W22" s="196"/>
      <c r="X22" s="196"/>
    </row>
    <row r="23" spans="1:24">
      <c r="A23" s="196"/>
      <c r="B23" s="196"/>
      <c r="C23" s="196"/>
      <c r="D23" s="196"/>
      <c r="E23" s="196"/>
      <c r="F23" s="196"/>
      <c r="G23" s="196"/>
      <c r="H23" s="196"/>
      <c r="I23" s="196"/>
      <c r="J23" s="196"/>
      <c r="K23" s="196"/>
      <c r="L23" s="196"/>
      <c r="M23" s="196"/>
      <c r="N23" s="196"/>
      <c r="O23" s="196"/>
      <c r="P23" s="196"/>
      <c r="Q23" s="196"/>
      <c r="R23" s="196"/>
      <c r="S23" s="196"/>
      <c r="T23" s="196"/>
      <c r="U23" s="196"/>
      <c r="V23" s="196"/>
      <c r="W23" s="196"/>
      <c r="X23" s="196"/>
    </row>
    <row r="24" spans="1:24">
      <c r="A24" s="196"/>
      <c r="B24" s="196"/>
      <c r="C24" s="196"/>
      <c r="D24" s="196"/>
      <c r="E24" s="196"/>
      <c r="F24" s="196"/>
      <c r="G24" s="196"/>
      <c r="H24" s="196"/>
      <c r="I24" s="196"/>
      <c r="J24" s="196"/>
      <c r="K24" s="196"/>
      <c r="L24" s="196"/>
      <c r="M24" s="196"/>
      <c r="N24" s="196"/>
      <c r="O24" s="196"/>
      <c r="P24" s="196"/>
      <c r="Q24" s="196"/>
      <c r="R24" s="196"/>
      <c r="S24" s="196"/>
      <c r="T24" s="196"/>
      <c r="U24" s="196"/>
      <c r="V24" s="196"/>
      <c r="W24" s="196"/>
      <c r="X24" s="196"/>
    </row>
    <row r="25" spans="1:24">
      <c r="A25" s="196"/>
      <c r="B25" s="196"/>
      <c r="C25" s="196"/>
      <c r="D25" s="196"/>
      <c r="E25" s="196"/>
      <c r="F25" s="196"/>
      <c r="G25" s="196"/>
      <c r="H25" s="196"/>
      <c r="I25" s="196"/>
      <c r="J25" s="196"/>
      <c r="K25" s="196"/>
      <c r="L25" s="196"/>
      <c r="M25" s="196"/>
      <c r="N25" s="196"/>
      <c r="O25" s="196"/>
      <c r="P25" s="196"/>
      <c r="Q25" s="196"/>
      <c r="R25" s="196"/>
      <c r="S25" s="196"/>
      <c r="T25" s="196"/>
      <c r="U25" s="196"/>
      <c r="V25" s="196"/>
      <c r="W25" s="196"/>
      <c r="X25" s="196"/>
    </row>
    <row r="26" spans="1:24">
      <c r="A26" s="196"/>
      <c r="B26" s="196"/>
      <c r="C26" s="196"/>
      <c r="D26" s="196"/>
      <c r="E26" s="196"/>
      <c r="F26" s="196"/>
      <c r="G26" s="196"/>
      <c r="H26" s="196"/>
      <c r="I26" s="196"/>
      <c r="J26" s="196"/>
      <c r="K26" s="196"/>
      <c r="L26" s="196"/>
      <c r="M26" s="196"/>
      <c r="N26" s="196"/>
      <c r="O26" s="196"/>
      <c r="P26" s="196"/>
      <c r="Q26" s="196"/>
      <c r="R26" s="196"/>
      <c r="S26" s="196"/>
      <c r="T26" s="196"/>
      <c r="U26" s="196"/>
      <c r="V26" s="196"/>
      <c r="W26" s="196"/>
      <c r="X26" s="196"/>
    </row>
    <row r="27" spans="1:24">
      <c r="A27" s="196"/>
      <c r="B27" s="196"/>
      <c r="C27" s="196"/>
      <c r="D27" s="196"/>
      <c r="E27" s="196"/>
      <c r="F27" s="196"/>
      <c r="G27" s="196"/>
      <c r="H27" s="196"/>
      <c r="I27" s="196"/>
      <c r="J27" s="196"/>
      <c r="K27" s="196"/>
      <c r="L27" s="196"/>
      <c r="M27" s="196"/>
      <c r="N27" s="196"/>
      <c r="O27" s="196"/>
      <c r="P27" s="196"/>
      <c r="Q27" s="196"/>
      <c r="R27" s="196"/>
      <c r="S27" s="196"/>
      <c r="T27" s="196"/>
      <c r="U27" s="196"/>
      <c r="V27" s="196"/>
      <c r="W27" s="196"/>
      <c r="X27" s="196"/>
    </row>
    <row r="28" spans="1:24">
      <c r="A28" s="196"/>
      <c r="B28" s="196"/>
      <c r="C28" s="196"/>
      <c r="D28" s="196"/>
      <c r="E28" s="196"/>
      <c r="F28" s="196"/>
      <c r="G28" s="196"/>
      <c r="H28" s="196"/>
      <c r="I28" s="196"/>
      <c r="J28" s="196"/>
      <c r="K28" s="196"/>
      <c r="L28" s="196"/>
      <c r="M28" s="196"/>
      <c r="N28" s="196"/>
      <c r="O28" s="196"/>
      <c r="P28" s="196"/>
      <c r="Q28" s="196"/>
      <c r="R28" s="196"/>
      <c r="S28" s="196"/>
      <c r="T28" s="196"/>
      <c r="U28" s="196"/>
      <c r="V28" s="196"/>
      <c r="W28" s="196"/>
      <c r="X28" s="196"/>
    </row>
    <row r="29" spans="1:24">
      <c r="A29" s="196"/>
      <c r="B29" s="196"/>
      <c r="C29" s="196"/>
      <c r="D29" s="196"/>
      <c r="E29" s="196"/>
      <c r="F29" s="196"/>
      <c r="G29" s="196"/>
      <c r="H29" s="196"/>
      <c r="I29" s="196"/>
      <c r="J29" s="196"/>
      <c r="K29" s="196"/>
      <c r="L29" s="196"/>
      <c r="M29" s="196"/>
      <c r="N29" s="196"/>
      <c r="O29" s="196"/>
      <c r="P29" s="196"/>
      <c r="Q29" s="196"/>
      <c r="R29" s="196"/>
      <c r="S29" s="196"/>
      <c r="T29" s="196"/>
      <c r="U29" s="196"/>
      <c r="V29" s="196"/>
      <c r="W29" s="196"/>
      <c r="X29" s="196"/>
    </row>
    <row r="30" spans="1:24">
      <c r="A30" s="196"/>
      <c r="B30" s="196"/>
      <c r="C30" s="196"/>
      <c r="D30" s="196"/>
      <c r="E30" s="196"/>
      <c r="F30" s="196"/>
      <c r="G30" s="196"/>
      <c r="H30" s="196"/>
      <c r="I30" s="196"/>
      <c r="J30" s="196"/>
      <c r="K30" s="196"/>
      <c r="L30" s="196"/>
      <c r="M30" s="196"/>
      <c r="N30" s="196"/>
      <c r="O30" s="196"/>
      <c r="P30" s="196"/>
      <c r="Q30" s="196"/>
      <c r="R30" s="196"/>
      <c r="S30" s="196"/>
      <c r="T30" s="196"/>
      <c r="U30" s="196"/>
      <c r="V30" s="196"/>
      <c r="W30" s="196"/>
      <c r="X30" s="196"/>
    </row>
    <row r="31" spans="1:24">
      <c r="A31" s="196"/>
      <c r="B31" s="196"/>
      <c r="C31" s="196"/>
      <c r="D31" s="196"/>
      <c r="E31" s="196"/>
      <c r="F31" s="196"/>
      <c r="G31" s="196"/>
      <c r="H31" s="196"/>
      <c r="I31" s="196"/>
      <c r="J31" s="196"/>
      <c r="K31" s="196"/>
      <c r="L31" s="196"/>
      <c r="M31" s="196"/>
      <c r="N31" s="196"/>
      <c r="O31" s="196"/>
      <c r="P31" s="196"/>
      <c r="Q31" s="196"/>
      <c r="R31" s="196"/>
      <c r="S31" s="196"/>
      <c r="T31" s="196"/>
      <c r="U31" s="196"/>
      <c r="V31" s="196"/>
      <c r="W31" s="196"/>
      <c r="X31" s="196"/>
    </row>
    <row r="32" spans="1:24">
      <c r="A32" s="196"/>
      <c r="B32" s="196"/>
      <c r="C32" s="196"/>
      <c r="D32" s="196"/>
      <c r="E32" s="196"/>
      <c r="F32" s="196"/>
      <c r="G32" s="196"/>
      <c r="H32" s="196"/>
      <c r="I32" s="196"/>
      <c r="J32" s="196"/>
      <c r="K32" s="196"/>
      <c r="L32" s="196"/>
      <c r="M32" s="196"/>
      <c r="N32" s="196"/>
      <c r="O32" s="196"/>
      <c r="P32" s="196"/>
      <c r="Q32" s="196"/>
      <c r="R32" s="196"/>
      <c r="S32" s="196"/>
      <c r="T32" s="196"/>
      <c r="U32" s="196"/>
      <c r="V32" s="196"/>
      <c r="W32" s="196"/>
      <c r="X32" s="196"/>
    </row>
    <row r="33" spans="1:24">
      <c r="A33" s="196"/>
      <c r="B33" s="196"/>
      <c r="C33" s="196"/>
      <c r="D33" s="196"/>
      <c r="E33" s="196"/>
      <c r="F33" s="196"/>
      <c r="G33" s="196"/>
      <c r="H33" s="196"/>
      <c r="I33" s="196"/>
      <c r="J33" s="196"/>
      <c r="K33" s="196"/>
      <c r="L33" s="196"/>
      <c r="M33" s="196"/>
      <c r="N33" s="196"/>
      <c r="O33" s="196"/>
      <c r="P33" s="196"/>
      <c r="Q33" s="196"/>
      <c r="R33" s="196"/>
      <c r="S33" s="196"/>
      <c r="T33" s="196"/>
      <c r="U33" s="196"/>
      <c r="V33" s="196"/>
      <c r="W33" s="196"/>
      <c r="X33" s="196"/>
    </row>
    <row r="34" spans="1:24">
      <c r="A34" s="196"/>
      <c r="B34" s="196"/>
      <c r="C34" s="196"/>
      <c r="D34" s="196"/>
      <c r="E34" s="196"/>
      <c r="F34" s="196"/>
      <c r="G34" s="196"/>
      <c r="H34" s="196"/>
      <c r="I34" s="196"/>
      <c r="J34" s="196"/>
      <c r="K34" s="196"/>
      <c r="L34" s="196"/>
      <c r="M34" s="196"/>
      <c r="N34" s="196"/>
      <c r="O34" s="196"/>
      <c r="P34" s="196"/>
      <c r="Q34" s="196"/>
      <c r="R34" s="196"/>
      <c r="S34" s="196"/>
      <c r="T34" s="196"/>
      <c r="U34" s="196"/>
      <c r="V34" s="196"/>
      <c r="W34" s="196"/>
      <c r="X34" s="196"/>
    </row>
    <row r="35" spans="1:24">
      <c r="A35" s="196"/>
      <c r="B35" s="196"/>
      <c r="C35" s="196"/>
      <c r="D35" s="196"/>
      <c r="E35" s="196"/>
      <c r="F35" s="196"/>
      <c r="G35" s="196"/>
      <c r="H35" s="196"/>
      <c r="I35" s="196"/>
      <c r="J35" s="196"/>
      <c r="K35" s="196"/>
      <c r="L35" s="196"/>
      <c r="M35" s="196"/>
      <c r="N35" s="196"/>
      <c r="O35" s="196"/>
      <c r="P35" s="196"/>
      <c r="Q35" s="196"/>
      <c r="R35" s="196"/>
      <c r="S35" s="196"/>
      <c r="T35" s="196"/>
      <c r="U35" s="196"/>
      <c r="V35" s="196"/>
      <c r="W35" s="196"/>
      <c r="X35" s="196"/>
    </row>
    <row r="36" spans="1:24">
      <c r="A36" s="196"/>
      <c r="B36" s="196"/>
      <c r="C36" s="196"/>
      <c r="D36" s="196"/>
      <c r="E36" s="196"/>
      <c r="F36" s="196"/>
      <c r="G36" s="196"/>
      <c r="H36" s="196"/>
      <c r="I36" s="196"/>
      <c r="J36" s="196"/>
      <c r="K36" s="196"/>
      <c r="L36" s="196"/>
      <c r="M36" s="196"/>
      <c r="N36" s="196"/>
      <c r="O36" s="196"/>
      <c r="P36" s="196"/>
      <c r="Q36" s="196"/>
      <c r="R36" s="196"/>
      <c r="S36" s="196"/>
      <c r="T36" s="196"/>
      <c r="U36" s="196"/>
      <c r="V36" s="196"/>
      <c r="W36" s="196"/>
      <c r="X36" s="196"/>
    </row>
    <row r="37" spans="1:24">
      <c r="A37" s="196"/>
      <c r="B37" s="196"/>
      <c r="C37" s="196"/>
      <c r="D37" s="196"/>
      <c r="E37" s="196"/>
      <c r="F37" s="196"/>
      <c r="G37" s="196"/>
      <c r="H37" s="196"/>
      <c r="I37" s="196"/>
      <c r="J37" s="196"/>
      <c r="K37" s="196"/>
      <c r="L37" s="196"/>
      <c r="M37" s="196"/>
      <c r="N37" s="196"/>
      <c r="O37" s="196"/>
      <c r="P37" s="196"/>
      <c r="Q37" s="196"/>
      <c r="R37" s="196"/>
      <c r="S37" s="196"/>
      <c r="T37" s="196"/>
      <c r="U37" s="196"/>
      <c r="V37" s="196"/>
      <c r="W37" s="196"/>
      <c r="X37" s="196"/>
    </row>
    <row r="38" spans="1:24">
      <c r="A38" s="196"/>
      <c r="B38" s="196"/>
      <c r="C38" s="196"/>
      <c r="D38" s="196"/>
      <c r="E38" s="196"/>
      <c r="F38" s="196"/>
      <c r="G38" s="196"/>
      <c r="H38" s="196"/>
      <c r="I38" s="196"/>
      <c r="J38" s="196"/>
      <c r="K38" s="196"/>
      <c r="L38" s="196"/>
      <c r="M38" s="196"/>
      <c r="N38" s="196"/>
      <c r="O38" s="196"/>
      <c r="P38" s="196"/>
      <c r="Q38" s="196"/>
      <c r="R38" s="196"/>
      <c r="S38" s="196"/>
      <c r="T38" s="196"/>
      <c r="U38" s="196"/>
      <c r="V38" s="196"/>
      <c r="W38" s="196"/>
      <c r="X38" s="196"/>
    </row>
    <row r="39" spans="1:24">
      <c r="A39" s="196"/>
      <c r="B39" s="196"/>
      <c r="C39" s="196"/>
      <c r="D39" s="196"/>
      <c r="E39" s="196"/>
      <c r="F39" s="196"/>
      <c r="G39" s="196"/>
      <c r="H39" s="196"/>
      <c r="I39" s="196"/>
      <c r="J39" s="196"/>
      <c r="K39" s="196"/>
      <c r="L39" s="196"/>
      <c r="M39" s="196"/>
      <c r="N39" s="196"/>
      <c r="O39" s="196"/>
      <c r="P39" s="196"/>
      <c r="Q39" s="196"/>
      <c r="R39" s="196"/>
      <c r="S39" s="196"/>
      <c r="T39" s="196"/>
      <c r="U39" s="196"/>
      <c r="V39" s="196"/>
      <c r="W39" s="196"/>
      <c r="X39" s="196"/>
    </row>
    <row r="40" spans="1:24">
      <c r="A40" s="196"/>
      <c r="B40" s="196"/>
      <c r="C40" s="196"/>
      <c r="D40" s="196"/>
      <c r="E40" s="196"/>
      <c r="F40" s="196"/>
      <c r="G40" s="196"/>
      <c r="H40" s="196"/>
      <c r="I40" s="196"/>
      <c r="J40" s="196"/>
      <c r="K40" s="196"/>
      <c r="L40" s="196"/>
      <c r="M40" s="196"/>
      <c r="N40" s="196"/>
      <c r="O40" s="196"/>
      <c r="P40" s="196"/>
      <c r="Q40" s="196"/>
      <c r="R40" s="196"/>
      <c r="S40" s="196"/>
      <c r="T40" s="196"/>
      <c r="U40" s="196"/>
      <c r="V40" s="196"/>
      <c r="W40" s="196"/>
      <c r="X40" s="196"/>
    </row>
    <row r="41" spans="1:24">
      <c r="A41" s="196"/>
      <c r="B41" s="196"/>
      <c r="C41" s="196"/>
      <c r="D41" s="196"/>
      <c r="E41" s="196"/>
      <c r="F41" s="196"/>
      <c r="G41" s="196"/>
      <c r="H41" s="196"/>
      <c r="I41" s="196"/>
      <c r="J41" s="196"/>
      <c r="K41" s="196"/>
      <c r="L41" s="196"/>
      <c r="M41" s="196"/>
      <c r="N41" s="196"/>
      <c r="O41" s="196"/>
      <c r="P41" s="196"/>
      <c r="Q41" s="196"/>
      <c r="R41" s="196"/>
      <c r="S41" s="196"/>
      <c r="T41" s="196"/>
      <c r="U41" s="196"/>
      <c r="V41" s="196"/>
      <c r="W41" s="196"/>
      <c r="X41" s="196"/>
    </row>
    <row r="42" spans="1:24">
      <c r="A42" s="196"/>
      <c r="B42" s="196"/>
      <c r="C42" s="196"/>
      <c r="D42" s="196"/>
      <c r="E42" s="196"/>
      <c r="F42" s="196"/>
      <c r="G42" s="196"/>
      <c r="H42" s="196"/>
      <c r="I42" s="196"/>
      <c r="J42" s="196"/>
      <c r="K42" s="196"/>
      <c r="L42" s="196"/>
      <c r="M42" s="196"/>
      <c r="N42" s="196"/>
      <c r="O42" s="196"/>
      <c r="P42" s="196"/>
      <c r="Q42" s="196"/>
      <c r="R42" s="196"/>
      <c r="S42" s="196"/>
      <c r="T42" s="196"/>
      <c r="U42" s="196"/>
      <c r="V42" s="196"/>
      <c r="W42" s="196"/>
      <c r="X42" s="196"/>
    </row>
    <row r="43" spans="1:24">
      <c r="A43" s="196"/>
      <c r="B43" s="196"/>
      <c r="C43" s="196"/>
      <c r="D43" s="196"/>
      <c r="E43" s="196"/>
      <c r="F43" s="196"/>
      <c r="G43" s="196"/>
      <c r="H43" s="196"/>
      <c r="I43" s="196"/>
      <c r="J43" s="196"/>
      <c r="K43" s="196"/>
      <c r="L43" s="196"/>
      <c r="M43" s="196"/>
      <c r="N43" s="196"/>
      <c r="O43" s="196"/>
      <c r="P43" s="196"/>
      <c r="Q43" s="196"/>
      <c r="R43" s="196"/>
      <c r="S43" s="196"/>
      <c r="T43" s="196"/>
      <c r="U43" s="196"/>
      <c r="V43" s="196"/>
      <c r="W43" s="196"/>
      <c r="X43" s="196"/>
    </row>
  </sheetData>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7"/>
  <sheetViews>
    <sheetView showGridLines="0" tabSelected="1" zoomScale="70" zoomScaleNormal="70" topLeftCell="A47" workbookViewId="0">
      <selection activeCell="G12" sqref="G12:G18"/>
    </sheetView>
  </sheetViews>
  <sheetFormatPr defaultColWidth="9" defaultRowHeight="14.4"/>
  <cols>
    <col min="2" max="2" width="18.2592592592593" customWidth="1"/>
    <col min="3" max="3" width="24.8333333333333" customWidth="1"/>
    <col min="4" max="4" width="20.6759259259259" customWidth="1"/>
    <col min="5" max="5" width="19.2314814814815" customWidth="1"/>
    <col min="6" max="6" width="28.9907407407407" customWidth="1"/>
    <col min="7" max="7" width="14.1018518518519" customWidth="1"/>
    <col min="8" max="8" width="39.3611111111111" customWidth="1"/>
    <col min="9" max="9" width="21.4722222222222" customWidth="1"/>
    <col min="10" max="10" width="22.2685185185185" customWidth="1"/>
    <col min="11" max="11" width="20.9907407407407" customWidth="1"/>
    <col min="12" max="12" width="21.9537037037037" customWidth="1"/>
    <col min="13" max="13" width="21.4722222222222" customWidth="1"/>
    <col min="14" max="14" width="18.5833333333333" customWidth="1"/>
    <col min="15" max="16" width="9.61111111111111"/>
    <col min="17" max="19" width="12.9259259259259"/>
    <col min="20" max="22" width="9.61111111111111"/>
  </cols>
  <sheetData>
    <row r="1" ht="37" customHeight="1" spans="2:13">
      <c r="B1" s="111" t="s">
        <v>0</v>
      </c>
      <c r="C1" s="112"/>
      <c r="D1" s="112"/>
      <c r="E1" s="112"/>
      <c r="F1" s="113"/>
      <c r="H1" s="114" t="s">
        <v>1</v>
      </c>
      <c r="I1" s="155">
        <f ca="1">TODAY()</f>
        <v>46286</v>
      </c>
      <c r="J1" t="s">
        <v>2</v>
      </c>
      <c r="K1" s="106" t="s">
        <v>3</v>
      </c>
      <c r="L1" s="164">
        <v>45870</v>
      </c>
      <c r="M1" s="155">
        <v>46098</v>
      </c>
    </row>
    <row r="3" spans="2:14">
      <c r="B3" s="115" t="s">
        <v>4</v>
      </c>
      <c r="C3" s="116" t="s">
        <v>5</v>
      </c>
      <c r="D3" s="117" t="s">
        <v>6</v>
      </c>
      <c r="E3" s="118"/>
      <c r="F3" s="119" t="s">
        <v>7</v>
      </c>
      <c r="G3" s="119"/>
      <c r="K3" t="s">
        <v>8</v>
      </c>
      <c r="L3" t="s">
        <v>9</v>
      </c>
      <c r="M3" t="s">
        <v>10</v>
      </c>
      <c r="N3" t="s">
        <v>11</v>
      </c>
    </row>
    <row r="4" ht="72" spans="2:14">
      <c r="B4" s="120"/>
      <c r="C4" s="121"/>
      <c r="D4" s="117" t="s">
        <v>12</v>
      </c>
      <c r="E4" s="122"/>
      <c r="F4" s="106" t="s">
        <v>13</v>
      </c>
      <c r="G4" s="117">
        <v>13</v>
      </c>
      <c r="L4" t="s">
        <v>14</v>
      </c>
      <c r="M4" t="s">
        <v>15</v>
      </c>
      <c r="N4" s="58" t="s">
        <v>16</v>
      </c>
    </row>
    <row r="5" spans="2:13">
      <c r="B5" s="120"/>
      <c r="C5" s="123"/>
      <c r="D5" s="117" t="s">
        <v>17</v>
      </c>
      <c r="E5" s="122"/>
      <c r="F5" s="106" t="s">
        <v>18</v>
      </c>
      <c r="G5" s="124">
        <v>14</v>
      </c>
      <c r="L5" t="s">
        <v>19</v>
      </c>
      <c r="M5" t="s">
        <v>20</v>
      </c>
    </row>
    <row r="6" spans="2:12">
      <c r="B6" s="125"/>
      <c r="C6" s="119" t="s">
        <v>21</v>
      </c>
      <c r="D6" s="124">
        <v>1</v>
      </c>
      <c r="E6" s="122"/>
      <c r="F6" s="106" t="s">
        <v>22</v>
      </c>
      <c r="G6" s="124">
        <v>15</v>
      </c>
      <c r="H6" s="106">
        <v>16</v>
      </c>
      <c r="I6" s="106">
        <v>17</v>
      </c>
      <c r="K6" s="5"/>
      <c r="L6" s="165"/>
    </row>
    <row r="7" spans="2:12">
      <c r="B7" s="126" t="s">
        <v>23</v>
      </c>
      <c r="C7" s="127" t="str">
        <f>D3</f>
        <v>手写-系统1</v>
      </c>
      <c r="D7" s="117" t="s">
        <v>24</v>
      </c>
      <c r="E7" s="122"/>
      <c r="F7" s="106" t="s">
        <v>25</v>
      </c>
      <c r="G7" s="124">
        <v>16</v>
      </c>
      <c r="K7" s="5"/>
      <c r="L7" s="165"/>
    </row>
    <row r="8" spans="2:12">
      <c r="B8" s="128"/>
      <c r="C8" s="127" t="str">
        <f>D4</f>
        <v>手写-系统2</v>
      </c>
      <c r="D8" s="117" t="s">
        <v>24</v>
      </c>
      <c r="E8" s="122"/>
      <c r="F8" s="106" t="s">
        <v>26</v>
      </c>
      <c r="G8" s="124">
        <v>17</v>
      </c>
      <c r="K8" s="5"/>
      <c r="L8" s="165"/>
    </row>
    <row r="9" spans="2:12">
      <c r="B9" s="128"/>
      <c r="C9" s="127" t="str">
        <f>D5</f>
        <v>手写-系统3</v>
      </c>
      <c r="D9" s="117" t="s">
        <v>24</v>
      </c>
      <c r="E9" s="122"/>
      <c r="F9" s="106" t="s">
        <v>27</v>
      </c>
      <c r="G9" s="129">
        <v>18</v>
      </c>
      <c r="K9" s="5"/>
      <c r="L9" s="165"/>
    </row>
    <row r="10" ht="15" customHeight="1" spans="2:9">
      <c r="B10" s="130"/>
      <c r="C10" s="131" t="s">
        <v>28</v>
      </c>
      <c r="D10" s="122">
        <v>2</v>
      </c>
      <c r="E10" s="132" t="s">
        <v>29</v>
      </c>
      <c r="F10" s="106" t="s">
        <v>30</v>
      </c>
      <c r="G10" s="106">
        <v>19</v>
      </c>
      <c r="I10" s="139"/>
    </row>
    <row r="11" spans="2:5">
      <c r="B11" s="133"/>
      <c r="C11" s="131" t="s">
        <v>31</v>
      </c>
      <c r="D11" s="124">
        <v>3</v>
      </c>
      <c r="E11" s="132"/>
    </row>
    <row r="12" ht="16" customHeight="1" spans="2:7">
      <c r="B12" s="133"/>
      <c r="C12" s="131" t="s">
        <v>32</v>
      </c>
      <c r="D12" s="117">
        <v>4</v>
      </c>
      <c r="E12" s="132" t="s">
        <v>33</v>
      </c>
      <c r="F12" s="106" t="s">
        <v>34</v>
      </c>
      <c r="G12" s="124">
        <v>20</v>
      </c>
    </row>
    <row r="13" spans="2:7">
      <c r="B13" s="133"/>
      <c r="C13" s="131" t="s">
        <v>35</v>
      </c>
      <c r="D13" s="124">
        <v>5</v>
      </c>
      <c r="E13" s="132"/>
      <c r="F13" s="106" t="s">
        <v>36</v>
      </c>
      <c r="G13" s="124">
        <v>21</v>
      </c>
    </row>
    <row r="14" spans="2:7">
      <c r="B14" s="133"/>
      <c r="C14" s="131" t="s">
        <v>37</v>
      </c>
      <c r="D14" s="124">
        <v>6</v>
      </c>
      <c r="E14" s="132"/>
      <c r="F14" s="106" t="s">
        <v>38</v>
      </c>
      <c r="G14" s="106">
        <v>22</v>
      </c>
    </row>
    <row r="15" ht="18" customHeight="1" spans="2:7">
      <c r="B15" s="133"/>
      <c r="C15" s="131" t="s">
        <v>39</v>
      </c>
      <c r="D15" s="117">
        <v>7</v>
      </c>
      <c r="E15" s="132" t="s">
        <v>40</v>
      </c>
      <c r="G15" s="134"/>
    </row>
    <row r="16" spans="2:7">
      <c r="B16" s="133"/>
      <c r="C16" s="131" t="s">
        <v>41</v>
      </c>
      <c r="D16" s="124">
        <v>8</v>
      </c>
      <c r="E16" s="122"/>
      <c r="F16" s="106" t="s">
        <v>42</v>
      </c>
      <c r="G16" s="106">
        <v>23</v>
      </c>
    </row>
    <row r="17" spans="2:7">
      <c r="B17" s="133"/>
      <c r="C17" s="106" t="s">
        <v>43</v>
      </c>
      <c r="D17" s="124">
        <v>9</v>
      </c>
      <c r="E17" s="122"/>
      <c r="F17" s="106" t="s">
        <v>44</v>
      </c>
      <c r="G17" s="106">
        <v>24</v>
      </c>
    </row>
    <row r="18" ht="87" customHeight="1" spans="2:7">
      <c r="B18" s="135" t="s">
        <v>45</v>
      </c>
      <c r="C18" s="131">
        <v>10</v>
      </c>
      <c r="D18" s="117">
        <v>11</v>
      </c>
      <c r="E18" s="136">
        <v>12</v>
      </c>
      <c r="F18" s="106" t="s">
        <v>46</v>
      </c>
      <c r="G18" s="106">
        <v>25</v>
      </c>
    </row>
    <row r="19" spans="2:2">
      <c r="B19" s="137"/>
    </row>
    <row r="20" spans="2:7">
      <c r="B20" s="138" t="s">
        <v>47</v>
      </c>
      <c r="C20" s="106" t="s">
        <v>48</v>
      </c>
      <c r="D20" s="117">
        <v>1</v>
      </c>
      <c r="E20" s="139" t="s">
        <v>24</v>
      </c>
      <c r="F20" s="106"/>
      <c r="G20" s="139"/>
    </row>
    <row r="21" spans="2:7">
      <c r="B21" s="140" t="s">
        <v>49</v>
      </c>
      <c r="C21" s="106" t="s">
        <v>50</v>
      </c>
      <c r="D21" s="117">
        <v>2</v>
      </c>
      <c r="E21" s="139"/>
      <c r="F21" s="106" t="s">
        <v>51</v>
      </c>
      <c r="G21" s="139">
        <v>4</v>
      </c>
    </row>
    <row r="22" spans="2:7">
      <c r="B22" s="140"/>
      <c r="C22" s="106" t="s">
        <v>13</v>
      </c>
      <c r="D22" s="117">
        <v>3</v>
      </c>
      <c r="E22" s="139" t="s">
        <v>24</v>
      </c>
      <c r="F22" s="106" t="s">
        <v>52</v>
      </c>
      <c r="G22" s="139">
        <v>5</v>
      </c>
    </row>
    <row r="23" spans="2:7">
      <c r="B23" s="140"/>
      <c r="C23" s="106" t="s">
        <v>53</v>
      </c>
      <c r="D23" s="141">
        <f>COUNTIFS(资产漏洞表!P:P,"已修复")</f>
        <v>0</v>
      </c>
      <c r="E23" s="139"/>
      <c r="F23" s="106" t="s">
        <v>37</v>
      </c>
      <c r="G23" s="139">
        <v>6</v>
      </c>
    </row>
    <row r="24" spans="2:7">
      <c r="B24" s="140"/>
      <c r="C24" s="106" t="s">
        <v>54</v>
      </c>
      <c r="D24" s="141">
        <f>COUNTIFS(资产漏洞表!P:P,"已防护")</f>
        <v>0</v>
      </c>
      <c r="E24" s="139"/>
      <c r="F24" s="106" t="s">
        <v>39</v>
      </c>
      <c r="G24" s="139">
        <v>7</v>
      </c>
    </row>
    <row r="25" spans="2:7">
      <c r="B25" s="142"/>
      <c r="C25" s="106" t="s">
        <v>55</v>
      </c>
      <c r="D25" s="117" t="s">
        <v>24</v>
      </c>
      <c r="E25" s="139" t="s">
        <v>24</v>
      </c>
      <c r="F25" s="139"/>
      <c r="G25" s="139"/>
    </row>
    <row r="26" spans="2:4">
      <c r="B26" s="137"/>
      <c r="D26" s="143"/>
    </row>
    <row r="27" spans="2:6">
      <c r="B27" s="138" t="s">
        <v>56</v>
      </c>
      <c r="C27" s="106" t="s">
        <v>57</v>
      </c>
      <c r="D27" s="117">
        <v>10</v>
      </c>
      <c r="E27" t="s">
        <v>58</v>
      </c>
      <c r="F27" t="s">
        <v>59</v>
      </c>
    </row>
    <row r="28" spans="2:5">
      <c r="B28" s="140" t="s">
        <v>60</v>
      </c>
      <c r="C28" s="106" t="s">
        <v>61</v>
      </c>
      <c r="D28" s="117">
        <v>11</v>
      </c>
      <c r="E28" t="s">
        <v>62</v>
      </c>
    </row>
    <row r="29" spans="2:5">
      <c r="B29" s="140"/>
      <c r="C29" s="106" t="s">
        <v>63</v>
      </c>
      <c r="D29" s="117">
        <v>12</v>
      </c>
      <c r="E29" t="s">
        <v>64</v>
      </c>
    </row>
    <row r="30" spans="2:4">
      <c r="B30" s="142"/>
      <c r="C30" s="106" t="s">
        <v>65</v>
      </c>
      <c r="D30" s="144" t="s">
        <v>24</v>
      </c>
    </row>
    <row r="31" spans="2:4">
      <c r="B31" s="137"/>
      <c r="D31" s="143"/>
    </row>
    <row r="32" spans="2:4">
      <c r="B32" s="138" t="s">
        <v>66</v>
      </c>
      <c r="C32" s="106" t="s">
        <v>67</v>
      </c>
      <c r="D32" s="117" t="s">
        <v>24</v>
      </c>
    </row>
    <row r="33" spans="2:5">
      <c r="B33" s="140"/>
      <c r="C33" s="106" t="s">
        <v>68</v>
      </c>
      <c r="D33" s="145">
        <v>1</v>
      </c>
      <c r="E33" t="s">
        <v>69</v>
      </c>
    </row>
    <row r="34" spans="2:4">
      <c r="B34" s="140"/>
      <c r="C34" s="106" t="s">
        <v>70</v>
      </c>
      <c r="D34" s="141">
        <f>COUNTIFS(资产漏洞表!E:E,"高危",资产漏洞表!P:P,"已防护")/COUNTIFS(资产漏洞表!E:E,"高危")</f>
        <v>0</v>
      </c>
    </row>
    <row r="35" spans="2:4">
      <c r="B35" s="140"/>
      <c r="C35" s="106" t="s">
        <v>71</v>
      </c>
      <c r="D35" s="141">
        <f>AVERAGEIFS(事件表!AZ:AZ,事件表!AZ:AZ,"&lt;&gt;",事件表!AW:AW,"已通告",事件表!A:A,"*事件*")</f>
        <v>1.46</v>
      </c>
    </row>
    <row r="36" spans="2:4">
      <c r="B36" s="140"/>
      <c r="C36" s="106" t="s">
        <v>72</v>
      </c>
      <c r="D36" s="141">
        <f>AVERAGEIFS(事件表!BA:BA,事件表!BA:BA,"&lt;&gt;",事件表!AW:AW,"已通告",事件表!A:A,"*事件*")</f>
        <v>6.68</v>
      </c>
    </row>
    <row r="37" spans="2:4">
      <c r="B37" s="140"/>
      <c r="C37" s="106" t="s">
        <v>73</v>
      </c>
      <c r="D37" s="141">
        <f>COUNTIFS(资产漏洞表!P:P,"*已*")</f>
        <v>0</v>
      </c>
    </row>
    <row r="38" spans="2:4">
      <c r="B38" s="140"/>
      <c r="C38" s="106" t="s">
        <v>74</v>
      </c>
      <c r="D38" s="141">
        <f>COUNTIFS(事件表!B:B,"&gt;="&amp;L1,事件表!B:B,"&lt;="&amp;M1)</f>
        <v>18</v>
      </c>
    </row>
    <row r="39" spans="2:4">
      <c r="B39" s="142"/>
      <c r="C39" s="106" t="s">
        <v>75</v>
      </c>
      <c r="D39" s="117" t="s">
        <v>24</v>
      </c>
    </row>
    <row r="40" spans="2:4">
      <c r="B40" s="137"/>
      <c r="D40" s="143"/>
    </row>
    <row r="41" spans="2:4">
      <c r="B41" s="137"/>
      <c r="D41" s="143"/>
    </row>
    <row r="42" spans="2:4">
      <c r="B42" s="137"/>
      <c r="D42" s="143"/>
    </row>
    <row r="43" spans="2:4">
      <c r="B43" s="137"/>
      <c r="D43" s="143"/>
    </row>
    <row r="44" spans="2:4">
      <c r="B44" s="137"/>
      <c r="D44" s="143"/>
    </row>
    <row r="45" spans="2:4">
      <c r="B45" s="137"/>
      <c r="D45" s="143"/>
    </row>
    <row r="46" spans="2:2">
      <c r="B46" s="137"/>
    </row>
    <row r="47" spans="2:2">
      <c r="B47" s="146"/>
    </row>
    <row r="48" spans="2:14">
      <c r="B48" s="114" t="s">
        <v>76</v>
      </c>
      <c r="C48" s="124" t="s">
        <v>26</v>
      </c>
      <c r="D48" s="124" t="s">
        <v>77</v>
      </c>
      <c r="E48" s="106" t="s">
        <v>78</v>
      </c>
      <c r="F48" s="124" t="s">
        <v>79</v>
      </c>
      <c r="G48" s="147"/>
      <c r="H48" s="118"/>
      <c r="I48" s="147"/>
      <c r="J48" s="147"/>
      <c r="K48" s="147"/>
      <c r="L48" s="147"/>
      <c r="M48" s="147"/>
      <c r="N48" s="166"/>
    </row>
    <row r="49" spans="2:14">
      <c r="B49" s="114"/>
      <c r="C49" s="124">
        <f>COUNTIFS(事件表!A:A,"*事件*",事件表!B:B,"&gt;="&amp;L1,事件表!B:B,"&lt;="&amp;M1)</f>
        <v>7</v>
      </c>
      <c r="D49" s="148">
        <f>AVERAGEIFS(事件表!BA:BA,事件表!BA:BA,"&lt;&gt;",事件表!AW:AW,"已通告",事件表!A:A,"*事件*")</f>
        <v>6.68</v>
      </c>
      <c r="E49" s="148">
        <f>AVERAGEIFS(事件表!BC:BC,事件表!BC:BC,"&lt;&gt;",事件表!AW:AW,"已通告",事件表!A:A,"*事件*")</f>
        <v>6955.7175</v>
      </c>
      <c r="F49" s="149">
        <f>(COUNTIFS(事件表!A:A,"*事件*",事件表!I:I,"*已*",事件表!B:B,"&gt;="&amp;L1,事件表!B:B,"&lt;="&amp;M1)+COUNTIFS(事件表!A:A,"*事件*",事件表!I:I,"*不处置*",事件表!B:B,"&gt;="&amp;L1,事件表!B:B,"&lt;="&amp;M1))/C49</f>
        <v>1</v>
      </c>
      <c r="H49" s="122"/>
      <c r="I49" s="139"/>
      <c r="J49" s="139"/>
      <c r="K49" s="139"/>
      <c r="L49" s="139"/>
      <c r="M49" s="139"/>
      <c r="N49" s="134"/>
    </row>
    <row r="50" spans="2:14">
      <c r="B50" s="150"/>
      <c r="H50" s="122"/>
      <c r="I50" s="139"/>
      <c r="J50" s="139"/>
      <c r="K50" s="139"/>
      <c r="L50" s="139"/>
      <c r="M50" s="139"/>
      <c r="N50" s="134"/>
    </row>
    <row r="51" spans="2:14">
      <c r="B51" s="114" t="s">
        <v>80</v>
      </c>
      <c r="C51" s="151" t="s">
        <v>81</v>
      </c>
      <c r="D51" s="124">
        <f>COUNTIFS(事件表!C:C,C51,事件表!A:A,"*事件*")</f>
        <v>2</v>
      </c>
      <c r="E51" s="114" t="s">
        <v>82</v>
      </c>
      <c r="F51" s="124" t="s">
        <v>83</v>
      </c>
      <c r="G51" s="152">
        <f>AVERAGEIFS(事件表!AZ:AZ,事件表!AZ:AZ,"&lt;&gt;",事件表!AW:AW,"已通告",事件表!A:A,"*事件*")</f>
        <v>1.46</v>
      </c>
      <c r="H51" s="122"/>
      <c r="I51" s="139"/>
      <c r="J51" s="139"/>
      <c r="K51" s="139"/>
      <c r="L51" s="139"/>
      <c r="M51" s="139"/>
      <c r="N51" s="134"/>
    </row>
    <row r="52" spans="2:14">
      <c r="B52" s="114"/>
      <c r="C52" s="153" t="s">
        <v>84</v>
      </c>
      <c r="D52" s="124">
        <f>COUNTIFS(事件表!C:C,C52,事件表!A:A,"*事件*")</f>
        <v>0</v>
      </c>
      <c r="E52" s="114"/>
      <c r="F52" s="124" t="s">
        <v>85</v>
      </c>
      <c r="G52" s="152">
        <f>AVERAGEIFS(事件表!BA:BA,事件表!BA:BA,"&lt;&gt;",事件表!AW:AW,"已通告",事件表!A:A,"*事件*")</f>
        <v>6.68</v>
      </c>
      <c r="H52" s="122"/>
      <c r="I52" s="139"/>
      <c r="J52" s="139"/>
      <c r="K52" s="139"/>
      <c r="L52" s="139"/>
      <c r="M52" s="139"/>
      <c r="N52" s="134"/>
    </row>
    <row r="53" spans="2:14">
      <c r="B53" s="114"/>
      <c r="C53" s="153" t="s">
        <v>86</v>
      </c>
      <c r="D53" s="124">
        <f>COUNTIFS(事件表!C:C,C53,事件表!A:A,"*事件*")</f>
        <v>0</v>
      </c>
      <c r="E53" s="114"/>
      <c r="F53" s="124" t="s">
        <v>87</v>
      </c>
      <c r="G53" s="152">
        <f>AVERAGEIFS(事件表!BB:BB,事件表!BB:BB,"&lt;&gt;",事件表!AW:AW,"已通告",事件表!A:A,"*事件*")</f>
        <v>6.68</v>
      </c>
      <c r="H53" s="122"/>
      <c r="I53" s="139"/>
      <c r="J53" s="139"/>
      <c r="K53" s="139"/>
      <c r="L53" s="139"/>
      <c r="M53" s="139"/>
      <c r="N53" s="134"/>
    </row>
    <row r="54" spans="2:14">
      <c r="B54" s="114"/>
      <c r="C54" s="153" t="s">
        <v>88</v>
      </c>
      <c r="D54" s="124">
        <f>COUNTIFS(事件表!C:C,C54,事件表!A:A,"*事件*")</f>
        <v>0</v>
      </c>
      <c r="E54" s="114"/>
      <c r="F54" s="124" t="s">
        <v>89</v>
      </c>
      <c r="G54" s="152">
        <f>AVERAGEIFS(事件表!BC:BC,事件表!BC:BC,"&lt;&gt;",事件表!AW:AW,"已通告",事件表!A:A,"*事件*")</f>
        <v>6955.7175</v>
      </c>
      <c r="H54" s="122"/>
      <c r="I54" s="139"/>
      <c r="J54" s="139"/>
      <c r="K54" s="139"/>
      <c r="L54" s="139"/>
      <c r="M54" s="139"/>
      <c r="N54" s="134"/>
    </row>
    <row r="55" spans="2:14">
      <c r="B55" s="114"/>
      <c r="C55" s="153" t="s">
        <v>90</v>
      </c>
      <c r="D55" s="124">
        <f>COUNTIFS(事件表!C:C,C55,事件表!A:A,"*事件*")</f>
        <v>1</v>
      </c>
      <c r="E55" s="114"/>
      <c r="F55" s="124" t="s">
        <v>91</v>
      </c>
      <c r="G55" s="152">
        <f>AVERAGEIFS(事件表!BD:BD,事件表!BD:BD,"&lt;&gt;",事件表!AW:AW,"已通告",事件表!A:A,"*事件*")</f>
        <v>26680.7175</v>
      </c>
      <c r="H55" s="122"/>
      <c r="I55" s="139"/>
      <c r="J55" s="139"/>
      <c r="K55" s="139"/>
      <c r="L55" s="139"/>
      <c r="M55" s="139"/>
      <c r="N55" s="134"/>
    </row>
    <row r="56" spans="2:14">
      <c r="B56" s="150"/>
      <c r="H56" s="122"/>
      <c r="I56" s="139"/>
      <c r="J56" s="139"/>
      <c r="K56" s="139"/>
      <c r="L56" s="139"/>
      <c r="M56" s="139"/>
      <c r="N56" s="134"/>
    </row>
    <row r="57" spans="2:14">
      <c r="B57" s="106" t="s">
        <v>92</v>
      </c>
      <c r="C57" s="106"/>
      <c r="D57" s="106"/>
      <c r="E57" s="106"/>
      <c r="F57" s="106"/>
      <c r="G57" s="136"/>
      <c r="H57" s="154"/>
      <c r="I57" s="167"/>
      <c r="J57" s="167"/>
      <c r="K57" s="167"/>
      <c r="L57" s="167"/>
      <c r="M57" s="167"/>
      <c r="N57" s="168"/>
    </row>
    <row r="58" spans="2:14">
      <c r="B58" s="106" t="s">
        <v>93</v>
      </c>
      <c r="C58" s="124" t="str">
        <f>TEXT(L1,"YYYY-MM")</f>
        <v>2025-08</v>
      </c>
      <c r="D58" s="155" t="str">
        <f>TEXT(DATE(YEAR(C58),MONTH(C58)+1,DAY(C58)),"YYYY-MM")</f>
        <v>2025-09</v>
      </c>
      <c r="E58" s="155" t="str">
        <f t="shared" ref="E58:N58" si="0">TEXT(DATE(YEAR(D58),MONTH(D58)+1,DAY(D58)),"YYYY-MM")</f>
        <v>2025-10</v>
      </c>
      <c r="F58" s="155" t="str">
        <f t="shared" si="0"/>
        <v>2025-11</v>
      </c>
      <c r="G58" s="155" t="str">
        <f t="shared" si="0"/>
        <v>2025-12</v>
      </c>
      <c r="H58" s="156" t="str">
        <f t="shared" si="0"/>
        <v>2026-01</v>
      </c>
      <c r="I58" s="156" t="str">
        <f t="shared" si="0"/>
        <v>2026-02</v>
      </c>
      <c r="J58" s="156" t="str">
        <f t="shared" si="0"/>
        <v>2026-03</v>
      </c>
      <c r="K58" s="156" t="str">
        <f t="shared" si="0"/>
        <v>2026-04</v>
      </c>
      <c r="L58" s="156" t="str">
        <f t="shared" si="0"/>
        <v>2026-05</v>
      </c>
      <c r="M58" s="156" t="str">
        <f t="shared" si="0"/>
        <v>2026-06</v>
      </c>
      <c r="N58" s="156" t="str">
        <f t="shared" si="0"/>
        <v>2026-07</v>
      </c>
    </row>
    <row r="59" spans="2:14">
      <c r="B59" s="106" t="s">
        <v>94</v>
      </c>
      <c r="C59" s="148">
        <f>AVERAGEIFS(事件表!BA:BA,事件表!$B:$B,"&gt;="&amp;DATE(YEAR(C58),MONTH(C58),1),事件表!$B:$B,"&lt;="&amp;DATE(YEAR(C58),MONTH(C58),DAY(EOMONTH(C58,0))))</f>
        <v>1.04</v>
      </c>
      <c r="D59" s="148" t="e">
        <f>AVERAGEIFS(事件表!BA:BA,事件表!$B:$B,"&gt;="&amp;DATE(YEAR(D58),MONTH(D58),1),事件表!$B:$B,"&lt;="&amp;DATE(YEAR(D58),MONTH(D58),DAY(EOMONTH(D58,0))))</f>
        <v>#DIV/0!</v>
      </c>
      <c r="E59" s="148">
        <v>30</v>
      </c>
      <c r="F59" s="148">
        <f>AVERAGEIFS(事件表!BA:BA,事件表!$B:$B,"&gt;="&amp;DATE(YEAR(F58),MONTH(F58),1),事件表!$B:$B,"&lt;="&amp;DATE(YEAR(F58),MONTH(F58),DAY(EOMONTH(F58,0))))</f>
        <v>4.75</v>
      </c>
      <c r="G59" s="148" t="e">
        <f>AVERAGEIFS(事件表!BA:BA,事件表!$B:$B,"&gt;="&amp;DATE(YEAR(G58),MONTH(G58),1),事件表!$B:$B,"&lt;="&amp;DATE(YEAR(G58),MONTH(G58),DAY(EOMONTH(G58,0))))</f>
        <v>#DIV/0!</v>
      </c>
      <c r="H59" s="148" t="e">
        <f>AVERAGEIFS(事件表!BA:BA,事件表!$B:$B,"&gt;="&amp;DATE(YEAR(H58),MONTH(H58),1),事件表!$B:$B,"&lt;="&amp;DATE(YEAR(H58),MONTH(H58),DAY(EOMONTH(H58,0))))</f>
        <v>#DIV/0!</v>
      </c>
      <c r="I59" s="148">
        <f>AVERAGEIFS(事件表!BA:BA,事件表!$B:$B,"&gt;="&amp;DATE(YEAR(I58),MONTH(I58),1),事件表!$B:$B,"&lt;="&amp;DATE(YEAR(I58),MONTH(I58),DAY(EOMONTH(I58,0))))</f>
        <v>8.285</v>
      </c>
      <c r="J59" s="148">
        <f>AVERAGEIFS(事件表!BA:BA,事件表!$B:$B,"&gt;="&amp;DATE(YEAR(J58),MONTH(J58),1),事件表!$B:$B,"&lt;="&amp;DATE(YEAR(J58),MONTH(J58),DAY(EOMONTH(J58,0))))</f>
        <v>5.53</v>
      </c>
      <c r="K59" s="148" t="e">
        <f>AVERAGEIFS(事件表!BA:BA,事件表!$B:$B,"&gt;="&amp;DATE(YEAR(K58),MONTH(K58),1),事件表!$B:$B,"&lt;="&amp;DATE(YEAR(K58),MONTH(K58),DAY(EOMONTH(K58,0))))</f>
        <v>#DIV/0!</v>
      </c>
      <c r="L59" s="148" t="e">
        <f>AVERAGEIFS(事件表!BA:BA,事件表!$B:$B,"&gt;="&amp;DATE(YEAR(L58),MONTH(L58),1),事件表!$B:$B,"&lt;="&amp;DATE(YEAR(L58),MONTH(L58),DAY(EOMONTH(L58,0))))</f>
        <v>#DIV/0!</v>
      </c>
      <c r="M59" s="148" t="e">
        <f>AVERAGEIFS(事件表!BB:BB,事件表!$B:$B,"&gt;="&amp;DATE(YEAR(M58),MONTH(M58),1),事件表!$B:$B,"&lt;="&amp;DATE(YEAR(M58),MONTH(M58),DAY(EOMONTH(M58,0))))</f>
        <v>#DIV/0!</v>
      </c>
      <c r="N59" s="148" t="e">
        <f>AVERAGEIFS(事件表!BC:BC,事件表!$B:$B,"&gt;="&amp;DATE(YEAR(N58),MONTH(N58),1),事件表!$B:$B,"&lt;="&amp;DATE(YEAR(N58),MONTH(N58),DAY(EOMONTH(N58,0))))</f>
        <v>#DIV/0!</v>
      </c>
    </row>
    <row r="60" spans="2:2">
      <c r="B60" s="146"/>
    </row>
    <row r="61" ht="30" customHeight="1" spans="2:14">
      <c r="B61" s="124" t="s">
        <v>95</v>
      </c>
      <c r="C61" s="106" t="s">
        <v>96</v>
      </c>
      <c r="D61" s="157">
        <v>65545</v>
      </c>
      <c r="E61" s="147"/>
      <c r="F61" s="158" t="s">
        <v>97</v>
      </c>
      <c r="G61" s="159" t="s">
        <v>98</v>
      </c>
      <c r="H61" s="160"/>
      <c r="I61" s="158" t="s">
        <v>99</v>
      </c>
      <c r="J61" s="159" t="s">
        <v>98</v>
      </c>
      <c r="K61" s="160"/>
      <c r="L61" s="158" t="s">
        <v>100</v>
      </c>
      <c r="M61" s="169" t="s">
        <v>101</v>
      </c>
      <c r="N61" s="166"/>
    </row>
    <row r="62" ht="27" customHeight="1" spans="2:14">
      <c r="B62" s="124" t="s">
        <v>102</v>
      </c>
      <c r="C62" s="106" t="s">
        <v>103</v>
      </c>
      <c r="D62" s="124">
        <f>COUNTIFS(告警表!D:D,"*威胁*")</f>
        <v>5</v>
      </c>
      <c r="F62" s="161" t="s">
        <v>104</v>
      </c>
      <c r="G62" s="162">
        <v>2064</v>
      </c>
      <c r="H62" s="163"/>
      <c r="I62" s="161" t="s">
        <v>105</v>
      </c>
      <c r="J62" s="162">
        <v>1254</v>
      </c>
      <c r="K62" s="163"/>
      <c r="L62" s="170" t="s">
        <v>106</v>
      </c>
      <c r="M62" s="171">
        <v>2684</v>
      </c>
      <c r="N62" s="134"/>
    </row>
    <row r="63" ht="27" customHeight="1" spans="2:14">
      <c r="B63" s="124"/>
      <c r="C63" s="106" t="s">
        <v>107</v>
      </c>
      <c r="D63" s="124">
        <f>COUNTIFS(事件表!A:A,"重大威胁",事件表!B:B,"&gt;="&amp;L1,事件表!B:B,"&lt;="&amp;M1)+COUNTIFS(事件表!A:A,"一般威胁",事件表!B:B,"&gt;="&amp;L1,事件表!B:B,"&lt;="&amp;M1)</f>
        <v>3</v>
      </c>
      <c r="F63" s="161" t="s">
        <v>108</v>
      </c>
      <c r="G63" s="162">
        <v>726</v>
      </c>
      <c r="H63" s="163"/>
      <c r="I63" s="161" t="s">
        <v>109</v>
      </c>
      <c r="J63" s="162">
        <v>1242</v>
      </c>
      <c r="K63" s="163"/>
      <c r="L63" s="170" t="s">
        <v>110</v>
      </c>
      <c r="M63" s="171">
        <v>2337</v>
      </c>
      <c r="N63" s="134"/>
    </row>
    <row r="64" ht="27" customHeight="1" spans="2:14">
      <c r="B64" s="124"/>
      <c r="C64" s="106" t="s">
        <v>111</v>
      </c>
      <c r="D64" s="124">
        <f>AVERAGEIFS(事件表!BA:BA,事件表!BA:BA,"&lt;&gt;",事件表!AW:AW,"已通告",事件表!A:A,"*威胁*")</f>
        <v>3.54</v>
      </c>
      <c r="F64" s="161" t="s">
        <v>112</v>
      </c>
      <c r="G64" s="162">
        <v>582</v>
      </c>
      <c r="H64" s="163"/>
      <c r="I64" s="161" t="s">
        <v>113</v>
      </c>
      <c r="J64" s="162">
        <v>735</v>
      </c>
      <c r="K64" s="163"/>
      <c r="L64" s="170" t="s">
        <v>114</v>
      </c>
      <c r="M64" s="171">
        <v>204</v>
      </c>
      <c r="N64" s="134"/>
    </row>
    <row r="65" ht="27" customHeight="1" spans="2:14">
      <c r="B65" s="124" t="s">
        <v>115</v>
      </c>
      <c r="C65" s="106" t="s">
        <v>116</v>
      </c>
      <c r="D65" s="117">
        <v>2</v>
      </c>
      <c r="F65" s="161" t="s">
        <v>117</v>
      </c>
      <c r="G65" s="162">
        <v>327</v>
      </c>
      <c r="H65" s="163"/>
      <c r="I65" s="158" t="s">
        <v>118</v>
      </c>
      <c r="J65" s="159">
        <v>423</v>
      </c>
      <c r="K65" s="163"/>
      <c r="L65" s="170" t="s">
        <v>119</v>
      </c>
      <c r="M65" s="171">
        <v>9</v>
      </c>
      <c r="N65" s="134"/>
    </row>
    <row r="66" ht="27" customHeight="1" spans="2:14">
      <c r="B66" s="124"/>
      <c r="C66" s="106" t="s">
        <v>120</v>
      </c>
      <c r="D66" s="117">
        <v>0</v>
      </c>
      <c r="F66" s="161" t="s">
        <v>121</v>
      </c>
      <c r="G66" s="162">
        <v>259</v>
      </c>
      <c r="H66" s="163"/>
      <c r="I66" s="161" t="s">
        <v>122</v>
      </c>
      <c r="J66" s="162">
        <v>341</v>
      </c>
      <c r="K66" s="163"/>
      <c r="L66" s="170" t="s">
        <v>123</v>
      </c>
      <c r="M66" s="171">
        <v>7</v>
      </c>
      <c r="N66" s="134"/>
    </row>
    <row r="67" ht="27" customHeight="1" spans="2:14">
      <c r="B67" s="124" t="s">
        <v>124</v>
      </c>
      <c r="C67" s="106" t="s">
        <v>125</v>
      </c>
      <c r="D67" s="124">
        <f>COUNTIFS(事件表!A:A,"最新威胁",事件表!B:B,"&gt;="&amp;L1,事件表!B:B,"&lt;="&amp;M1)</f>
        <v>6</v>
      </c>
      <c r="F67" t="s">
        <v>126</v>
      </c>
      <c r="N67" s="134"/>
    </row>
    <row r="68" ht="27" customHeight="1" spans="2:14">
      <c r="B68" s="124"/>
      <c r="C68" s="106" t="s">
        <v>127</v>
      </c>
      <c r="D68" s="117">
        <v>15</v>
      </c>
      <c r="N68" s="134"/>
    </row>
    <row r="69" spans="2:14">
      <c r="B69" s="122"/>
      <c r="N69" s="134"/>
    </row>
    <row r="70" spans="2:14">
      <c r="B70" s="172" t="s">
        <v>128</v>
      </c>
      <c r="C70" s="173"/>
      <c r="D70" s="173"/>
      <c r="E70" s="173"/>
      <c r="F70" s="173"/>
      <c r="G70" s="173"/>
      <c r="H70" s="173"/>
      <c r="I70" s="173"/>
      <c r="J70" s="173"/>
      <c r="K70" s="173"/>
      <c r="L70" s="173"/>
      <c r="M70" s="173"/>
      <c r="N70" s="191"/>
    </row>
    <row r="71" spans="2:14">
      <c r="B71" s="124"/>
      <c r="C71" s="124" t="str">
        <f>TEXT(L1,"YYYY-MM")</f>
        <v>2025-08</v>
      </c>
      <c r="D71" s="155" t="str">
        <f>TEXT(DATE(YEAR(C71),MONTH(C71)+1,DAY(C71)),"YYYY-MM")</f>
        <v>2025-09</v>
      </c>
      <c r="E71" s="155" t="str">
        <f t="shared" ref="D71:N71" si="1">TEXT(DATE(YEAR(D71),MONTH(D71)+1,DAY(D71)),"YYYY-MM")</f>
        <v>2025-10</v>
      </c>
      <c r="F71" s="155" t="str">
        <f t="shared" si="1"/>
        <v>2025-11</v>
      </c>
      <c r="G71" s="155" t="str">
        <f t="shared" si="1"/>
        <v>2025-12</v>
      </c>
      <c r="H71" s="155" t="str">
        <f t="shared" si="1"/>
        <v>2026-01</v>
      </c>
      <c r="I71" s="155" t="str">
        <f t="shared" si="1"/>
        <v>2026-02</v>
      </c>
      <c r="J71" s="155" t="str">
        <f t="shared" si="1"/>
        <v>2026-03</v>
      </c>
      <c r="K71" s="155" t="str">
        <f t="shared" si="1"/>
        <v>2026-04</v>
      </c>
      <c r="L71" s="155" t="str">
        <f t="shared" si="1"/>
        <v>2026-05</v>
      </c>
      <c r="M71" s="155" t="str">
        <f t="shared" si="1"/>
        <v>2026-06</v>
      </c>
      <c r="N71" s="155" t="str">
        <f t="shared" si="1"/>
        <v>2026-07</v>
      </c>
    </row>
    <row r="72" spans="1:14">
      <c r="A72" t="s">
        <v>129</v>
      </c>
      <c r="B72" s="119" t="s">
        <v>130</v>
      </c>
      <c r="C72" s="157">
        <v>6729</v>
      </c>
      <c r="D72" s="157">
        <v>5323</v>
      </c>
      <c r="E72" s="157">
        <v>5940</v>
      </c>
      <c r="F72" s="157">
        <v>34095</v>
      </c>
      <c r="G72" s="157">
        <v>6990</v>
      </c>
      <c r="H72" s="157">
        <v>8813</v>
      </c>
      <c r="I72" s="157">
        <v>4270</v>
      </c>
      <c r="J72" s="157">
        <v>4506</v>
      </c>
      <c r="K72" s="157"/>
      <c r="L72" s="157"/>
      <c r="M72" s="157"/>
      <c r="N72" s="157"/>
    </row>
    <row r="73" spans="1:14">
      <c r="A73" t="s">
        <v>131</v>
      </c>
      <c r="B73" s="119" t="s">
        <v>132</v>
      </c>
      <c r="C73" s="157">
        <v>145428</v>
      </c>
      <c r="D73" s="157">
        <v>134496</v>
      </c>
      <c r="E73" s="157">
        <v>165515</v>
      </c>
      <c r="F73" s="157">
        <v>292379</v>
      </c>
      <c r="G73" s="157">
        <v>220881</v>
      </c>
      <c r="H73" s="157">
        <v>176312</v>
      </c>
      <c r="I73" s="157">
        <v>214511</v>
      </c>
      <c r="J73" s="157">
        <v>82013</v>
      </c>
      <c r="K73" s="157"/>
      <c r="L73" s="157"/>
      <c r="M73" s="157"/>
      <c r="N73" s="157"/>
    </row>
    <row r="74" spans="2:14">
      <c r="B74" s="119" t="s">
        <v>133</v>
      </c>
      <c r="C74" s="157">
        <v>303457</v>
      </c>
      <c r="D74" s="157">
        <v>222567</v>
      </c>
      <c r="E74" s="157">
        <v>241853</v>
      </c>
      <c r="F74" s="157">
        <v>195076</v>
      </c>
      <c r="G74" s="157">
        <v>104462</v>
      </c>
      <c r="H74" s="157">
        <v>325269</v>
      </c>
      <c r="I74" s="157">
        <v>228846</v>
      </c>
      <c r="J74" s="157">
        <v>226718</v>
      </c>
      <c r="K74" s="157">
        <v>287975</v>
      </c>
      <c r="L74" s="157">
        <v>165318</v>
      </c>
      <c r="M74" s="157">
        <v>101338</v>
      </c>
      <c r="N74" s="157">
        <v>235646</v>
      </c>
    </row>
    <row r="75" spans="2:14">
      <c r="B75" s="119" t="s">
        <v>134</v>
      </c>
      <c r="C75" s="124">
        <f>COUNTIFS(告警表!$Z:$Z,"&gt;="&amp;DATE(YEAR(C71),MONTH(C71),1),告警表!$Z:$Z,"&lt;="&amp;DATE(YEAR(C71),MONTH(C71),DAY(EOMONTH(C71,0))))</f>
        <v>0</v>
      </c>
      <c r="D75" s="124">
        <f>COUNTIFS(告警表!$Z:$Z,"&gt;="&amp;DATE(YEAR(D71),MONTH(D71),1),告警表!$Z:$Z,"&lt;="&amp;DATE(YEAR(D71),MONTH(D71),DAY(EOMONTH(D71,0))))</f>
        <v>0</v>
      </c>
      <c r="E75" s="124">
        <f>COUNTIFS(告警表!$Z:$Z,"&gt;="&amp;DATE(YEAR(E71),MONTH(E71),1),告警表!$Z:$Z,"&lt;="&amp;DATE(YEAR(E71),MONTH(E71),DAY(EOMONTH(E71,0))))</f>
        <v>0</v>
      </c>
      <c r="F75" s="124">
        <f>COUNTIFS(告警表!$Z:$Z,"&gt;="&amp;DATE(YEAR(F71),MONTH(F71),1),告警表!$Z:$Z,"&lt;="&amp;DATE(YEAR(F71),MONTH(F71),DAY(EOMONTH(F71,0))))</f>
        <v>0</v>
      </c>
      <c r="G75" s="124">
        <f>COUNTIFS(告警表!$Z:$Z,"&gt;="&amp;DATE(YEAR(G71),MONTH(G71),1),告警表!$Z:$Z,"&lt;="&amp;DATE(YEAR(G71),MONTH(G71),DAY(EOMONTH(G71,0))))</f>
        <v>0</v>
      </c>
      <c r="H75" s="124">
        <f>COUNTIFS(告警表!$Z:$Z,"&gt;="&amp;DATE(YEAR(H71),MONTH(H71),1),告警表!$Z:$Z,"&lt;="&amp;DATE(YEAR(H71),MONTH(H71),DAY(EOMONTH(H71,0))))</f>
        <v>0</v>
      </c>
      <c r="I75" s="124">
        <f>COUNTIFS(告警表!$Z:$Z,"&gt;="&amp;DATE(YEAR(I71),MONTH(I71),1),告警表!$Z:$Z,"&lt;="&amp;DATE(YEAR(I71),MONTH(I71),DAY(EOMONTH(I71,0))))</f>
        <v>0</v>
      </c>
      <c r="J75" s="124">
        <f>COUNTIFS(告警表!$Z:$Z,"&gt;="&amp;DATE(YEAR(J71),MONTH(J71),1),告警表!$Z:$Z,"&lt;="&amp;DATE(YEAR(J71),MONTH(J71),DAY(EOMONTH(J71,0))))</f>
        <v>13</v>
      </c>
      <c r="K75" s="124">
        <f>COUNTIFS(告警表!$Z:$Z,"&gt;="&amp;DATE(YEAR(K71),MONTH(K71),1),告警表!$Z:$Z,"&lt;="&amp;DATE(YEAR(K71),MONTH(K71),DAY(EOMONTH(K71,0))))</f>
        <v>0</v>
      </c>
      <c r="L75" s="124">
        <f>COUNTIFS(告警表!$Z:$Z,"&gt;="&amp;DATE(YEAR(L71),MONTH(L71),1),告警表!$Z:$Z,"&lt;="&amp;DATE(YEAR(L71),MONTH(L71),DAY(EOMONTH(L71,0))))</f>
        <v>0</v>
      </c>
      <c r="M75" s="124">
        <f>COUNTIFS(告警表!$Z:$Z,"&gt;="&amp;DATE(YEAR(M71),MONTH(M71),1),告警表!$Z:$Z,"&lt;="&amp;DATE(YEAR(M71),MONTH(M71),DAY(EOMONTH(M71,0))))</f>
        <v>0</v>
      </c>
      <c r="N75" s="124">
        <f>COUNTIFS(告警表!$Z:$Z,"&gt;="&amp;DATE(YEAR(N71),MONTH(N71),1),告警表!$Z:$Z,"&lt;="&amp;DATE(YEAR(N71),MONTH(N71),DAY(EOMONTH(N71,0))))</f>
        <v>0</v>
      </c>
    </row>
    <row r="76" spans="2:14">
      <c r="B76" s="119" t="s">
        <v>135</v>
      </c>
      <c r="C76" s="124">
        <f>COUNTIFS(事件表!A:A,"*事件*",事件表!$B:$B,"&gt;="&amp;DATE(YEAR(C71),MONTH(C71),1),事件表!$B:$B,"&lt;="&amp;DATE(YEAR(C71),MONTH(C71),DAY(EOMONTH(C71,0))))</f>
        <v>2</v>
      </c>
      <c r="D76" s="124">
        <f>COUNTIFS(事件表!A:A,"*事件*",事件表!$B:$B,"&gt;="&amp;DATE(YEAR(D71),MONTH(D71),1),事件表!$B:$B,"&lt;="&amp;DATE(YEAR(D71),MONTH(D71),DAY(EOMONTH(D71,0))))</f>
        <v>0</v>
      </c>
      <c r="E76" s="124">
        <f>COUNTIFS(事件表!A:A,"*事件*",事件表!$B:$B,"&gt;="&amp;DATE(YEAR(E71),MONTH(E71),1),事件表!$B:$B,"&lt;="&amp;DATE(YEAR(E71),MONTH(E71),DAY(EOMONTH(E71,0))))</f>
        <v>1</v>
      </c>
      <c r="F76" s="124">
        <f>COUNTIFS(事件表!A:A,"*事件*",事件表!$B:$B,"&gt;="&amp;DATE(YEAR(F71),MONTH(F71),1),事件表!$B:$B,"&lt;="&amp;DATE(YEAR(F71),MONTH(F71),DAY(EOMONTH(F71,0))))</f>
        <v>1</v>
      </c>
      <c r="G76" s="124">
        <f>COUNTIFS(事件表!A:A,"*事件*",事件表!$B:$B,"&gt;="&amp;DATE(YEAR(G71),MONTH(G71),1),事件表!$B:$B,"&lt;="&amp;DATE(YEAR(G71),MONTH(G71),DAY(EOMONTH(G71,0))))</f>
        <v>0</v>
      </c>
      <c r="H76" s="124">
        <f>COUNTIFS(事件表!A:A,"*事件*",事件表!$B:$B,"&gt;="&amp;DATE(YEAR(H71),MONTH(H71),1),事件表!$B:$B,"&lt;="&amp;DATE(YEAR(H71),MONTH(H71),DAY(EOMONTH(H71,0))))</f>
        <v>0</v>
      </c>
      <c r="I76" s="124">
        <f>COUNTIFS(事件表!A:A,"*事件*",事件表!$B:$B,"&gt;="&amp;DATE(YEAR(I71),MONTH(I71),1),事件表!$B:$B,"&lt;="&amp;DATE(YEAR(I71),MONTH(I71),DAY(EOMONTH(I71,0))))</f>
        <v>2</v>
      </c>
      <c r="J76" s="124">
        <f>COUNTIFS(事件表!A:A,"*事件*",事件表!$B:$B,"&gt;="&amp;DATE(YEAR(J71),MONTH(J71),1),事件表!$B:$B,"&lt;="&amp;DATE(YEAR(J71),MONTH(J71),DAY(EOMONTH(J71,0))))</f>
        <v>1</v>
      </c>
      <c r="K76" s="124">
        <f>COUNTIFS(事件表!A:A,"*事件*",事件表!$B:$B,"&gt;="&amp;DATE(YEAR(K71),MONTH(K71),1),事件表!$B:$B,"&lt;="&amp;DATE(YEAR(K71),MONTH(K71),DAY(EOMONTH(K71,0))))</f>
        <v>0</v>
      </c>
      <c r="L76" s="124">
        <f>COUNTIFS(事件表!A:A,"*事件*",事件表!$B:$B,"&gt;="&amp;DATE(YEAR(L71),MONTH(L71),1),事件表!$B:$B,"&lt;="&amp;DATE(YEAR(L71),MONTH(L71),DAY(EOMONTH(L71,0))))</f>
        <v>0</v>
      </c>
      <c r="M76" s="124">
        <f>COUNTIFS(事件表!A:A,"*事件*",事件表!$B:$B,"&gt;="&amp;DATE(YEAR(M71),MONTH(M71),1),事件表!$B:$B,"&lt;="&amp;DATE(YEAR(M71),MONTH(M71),DAY(EOMONTH(M71,0))))</f>
        <v>0</v>
      </c>
      <c r="N76" s="124">
        <f>COUNTIFS(事件表!A:A,"*事件*",事件表!$B:$B,"&gt;="&amp;DATE(YEAR(N71),MONTH(N71),1),事件表!$B:$B,"&lt;="&amp;DATE(YEAR(N71),MONTH(N71),DAY(EOMONTH(N71,0))))</f>
        <v>0</v>
      </c>
    </row>
    <row r="77" spans="2:14">
      <c r="B77" s="119" t="s">
        <v>136</v>
      </c>
      <c r="C77" s="117">
        <v>40</v>
      </c>
      <c r="D77" s="117">
        <v>70</v>
      </c>
      <c r="E77" s="117">
        <v>35</v>
      </c>
      <c r="F77" s="117">
        <v>10</v>
      </c>
      <c r="G77" s="117">
        <v>2</v>
      </c>
      <c r="H77" s="117">
        <v>1</v>
      </c>
      <c r="I77" s="117">
        <v>0</v>
      </c>
      <c r="J77" s="117">
        <v>1</v>
      </c>
      <c r="K77" s="117"/>
      <c r="L77" s="117"/>
      <c r="M77" s="117"/>
      <c r="N77" s="117"/>
    </row>
    <row r="78" spans="3:3">
      <c r="C78" s="174"/>
    </row>
    <row r="79" ht="24" customHeight="1" spans="2:14">
      <c r="B79" s="124" t="s">
        <v>137</v>
      </c>
      <c r="C79" s="124" t="s">
        <v>28</v>
      </c>
      <c r="D79" s="114" t="s">
        <v>138</v>
      </c>
      <c r="E79" s="124" t="s">
        <v>139</v>
      </c>
      <c r="F79" s="124" t="s">
        <v>140</v>
      </c>
      <c r="G79" s="147"/>
      <c r="H79" s="106" t="s">
        <v>141</v>
      </c>
      <c r="I79" s="124">
        <f>暴露面!E4</f>
        <v>3</v>
      </c>
      <c r="J79" s="106" t="s">
        <v>142</v>
      </c>
      <c r="K79" s="124">
        <f>COUNTIFS(资产表!F:F,"服务器",资产表!AG:AG,"内网")</f>
        <v>2</v>
      </c>
      <c r="L79" s="147"/>
      <c r="M79" s="106" t="s">
        <v>143</v>
      </c>
      <c r="N79" s="178"/>
    </row>
    <row r="80" spans="2:14">
      <c r="B80" s="124"/>
      <c r="C80" s="124">
        <f>COUNTIFS(资产漏洞表!E:E,"高危",资产漏洞表!F:F,"是",资产漏洞表!T:T,"&gt;="&amp;L1,资产漏洞表!T:T,"&lt;="&amp;M1)</f>
        <v>0</v>
      </c>
      <c r="D80" s="124">
        <f>COUNTIFS(资产漏洞表!N:N,"外网",资产漏洞表!P:P,"*已*",资产漏洞表!T:T,"&gt;="&amp;L1,资产漏洞表!T:T,"&lt;="&amp;M1)</f>
        <v>0</v>
      </c>
      <c r="E80" s="175">
        <v>62</v>
      </c>
      <c r="F80" s="149" t="e">
        <f>COUNTIFS(资产漏洞表!E:E,"高危",资产漏洞表!F:F,"是",资产漏洞表!P:P,"*已*")/COUNTIFS(资产漏洞表!E:E,"高危",资产漏洞表!F:F,"是")</f>
        <v>#DIV/0!</v>
      </c>
      <c r="H80" s="106" t="s">
        <v>144</v>
      </c>
      <c r="I80" s="124">
        <f>暴露面!E5</f>
        <v>27</v>
      </c>
      <c r="J80" s="106" t="s">
        <v>145</v>
      </c>
      <c r="K80" s="124">
        <f>COUNTIFS(资产表!F:F,"服务器",资产表!AG:AG,"内网",资产表!E:E,"服务内")</f>
        <v>0</v>
      </c>
      <c r="N80" s="134"/>
    </row>
    <row r="81" spans="2:14">
      <c r="B81" s="176"/>
      <c r="C81" s="139"/>
      <c r="D81" s="139"/>
      <c r="E81" s="139"/>
      <c r="F81" s="139"/>
      <c r="H81" s="106" t="s">
        <v>146</v>
      </c>
      <c r="I81" s="117">
        <v>10</v>
      </c>
      <c r="J81" s="106" t="s">
        <v>147</v>
      </c>
      <c r="K81" s="124">
        <f>COUNTIFS(资产漏洞表!N:N,"内网")</f>
        <v>0</v>
      </c>
      <c r="N81" s="134"/>
    </row>
    <row r="82" spans="2:14">
      <c r="B82" s="124" t="s">
        <v>148</v>
      </c>
      <c r="C82" s="177"/>
      <c r="D82" s="124" t="s">
        <v>149</v>
      </c>
      <c r="E82" s="124" t="s">
        <v>150</v>
      </c>
      <c r="F82" s="124" t="s">
        <v>151</v>
      </c>
      <c r="H82" s="106" t="s">
        <v>152</v>
      </c>
      <c r="I82" s="124">
        <f>COUNTIFS(资产漏洞表!N:N,"外网")</f>
        <v>0</v>
      </c>
      <c r="J82" s="106" t="s">
        <v>37</v>
      </c>
      <c r="K82" s="124">
        <f>COUNTIFS(资产漏洞表!N:N,"内网",资产漏洞表!P:P,"已防护")</f>
        <v>0</v>
      </c>
      <c r="N82" s="134"/>
    </row>
    <row r="83" spans="2:14">
      <c r="B83" s="124"/>
      <c r="C83" s="106" t="s">
        <v>153</v>
      </c>
      <c r="D83" s="124">
        <f>COUNTIFS(资产漏洞表!E:E,"高危")</f>
        <v>2</v>
      </c>
      <c r="E83" s="124">
        <f>COUNTIFS(资产漏洞表!E:E,"中危",资产漏洞表!P:P,"*已*")</f>
        <v>0</v>
      </c>
      <c r="F83" s="149">
        <f>E83/D83</f>
        <v>0</v>
      </c>
      <c r="H83" s="106"/>
      <c r="I83" s="106"/>
      <c r="J83" s="106" t="s">
        <v>39</v>
      </c>
      <c r="K83" s="124">
        <f>COUNTIFS(资产漏洞表!N:N,"内网",资产漏洞表!P:P,"已修复")</f>
        <v>0</v>
      </c>
      <c r="N83" s="134"/>
    </row>
    <row r="84" spans="2:14">
      <c r="B84" s="124"/>
      <c r="C84" s="106" t="s">
        <v>154</v>
      </c>
      <c r="D84" s="124">
        <f>COUNTIFS(资产漏洞表!E:E,"中危")</f>
        <v>4</v>
      </c>
      <c r="E84" s="124">
        <f>COUNTIFS(资产漏洞表!E:E,"中危",资产漏洞表!P:P,"*已*")</f>
        <v>0</v>
      </c>
      <c r="F84" s="149">
        <f>E84/D84</f>
        <v>0</v>
      </c>
      <c r="N84" s="134"/>
    </row>
    <row r="85" spans="2:14">
      <c r="B85" s="124"/>
      <c r="C85" s="106" t="s">
        <v>155</v>
      </c>
      <c r="D85" s="124">
        <f>COUNTIFS(资产漏洞表!E:E,"低危")</f>
        <v>2</v>
      </c>
      <c r="E85" s="124">
        <f>COUNTIFS(资产漏洞表!E:E,"高危",资产漏洞表!P:P,"*已*")</f>
        <v>0</v>
      </c>
      <c r="F85" s="149">
        <f>E85/D85</f>
        <v>0</v>
      </c>
      <c r="N85" s="134"/>
    </row>
    <row r="86" spans="2:14">
      <c r="B86" s="124" t="s">
        <v>156</v>
      </c>
      <c r="C86" s="124" t="str">
        <f>TEXT(L1,"YYYY-MM")</f>
        <v>2025-08</v>
      </c>
      <c r="D86" s="155" t="str">
        <f t="shared" ref="D86:N86" si="2">TEXT(DATE(YEAR(C86),MONTH(C86)+1,DAY(C86)),"YYYY-MM")</f>
        <v>2025-09</v>
      </c>
      <c r="E86" s="155" t="str">
        <f t="shared" si="2"/>
        <v>2025-10</v>
      </c>
      <c r="F86" s="155" t="str">
        <f t="shared" si="2"/>
        <v>2025-11</v>
      </c>
      <c r="G86" s="155" t="str">
        <f t="shared" si="2"/>
        <v>2025-12</v>
      </c>
      <c r="H86" s="155" t="str">
        <f t="shared" si="2"/>
        <v>2026-01</v>
      </c>
      <c r="I86" s="155" t="str">
        <f t="shared" si="2"/>
        <v>2026-02</v>
      </c>
      <c r="J86" s="155" t="str">
        <f t="shared" si="2"/>
        <v>2026-03</v>
      </c>
      <c r="K86" s="155" t="str">
        <f t="shared" si="2"/>
        <v>2026-04</v>
      </c>
      <c r="L86" s="155" t="str">
        <f t="shared" si="2"/>
        <v>2026-05</v>
      </c>
      <c r="M86" s="155" t="str">
        <f t="shared" si="2"/>
        <v>2026-06</v>
      </c>
      <c r="N86" s="155" t="str">
        <f t="shared" si="2"/>
        <v>2026-07</v>
      </c>
    </row>
    <row r="87" spans="2:14">
      <c r="B87" s="124" t="s">
        <v>157</v>
      </c>
      <c r="C87" s="124">
        <f>COUNTIFS(资产漏洞表!$T:$T,"&gt;="&amp;DATE(YEAR(C86),MONTH(C86),1),资产漏洞表!$T:$T,"&lt;="&amp;DATE(YEAR(C86),MONTH(C86),DAY(EOMONTH(C86,0))))</f>
        <v>0</v>
      </c>
      <c r="D87" s="124">
        <f>COUNTIFS(资产漏洞表!$T:$T,"&gt;="&amp;DATE(YEAR(D86),MONTH(D86),1),资产漏洞表!$T:$T,"&lt;="&amp;DATE(YEAR(D86),MONTH(D86),DAY(EOMONTH(D86,0))))</f>
        <v>0</v>
      </c>
      <c r="E87" s="124">
        <f>COUNTIFS(资产漏洞表!$T:$T,"&gt;="&amp;DATE(YEAR(E86),MONTH(E86),1),资产漏洞表!$T:$T,"&lt;="&amp;DATE(YEAR(E86),MONTH(E86),DAY(EOMONTH(E86,0))))</f>
        <v>0</v>
      </c>
      <c r="F87" s="124">
        <f>COUNTIFS(资产漏洞表!$T:$T,"&gt;="&amp;DATE(YEAR(F86),MONTH(F86),1),资产漏洞表!$T:$T,"&lt;="&amp;DATE(YEAR(F86),MONTH(F86),DAY(EOMONTH(F86,0))))</f>
        <v>0</v>
      </c>
      <c r="G87" s="124">
        <f>COUNTIFS(资产漏洞表!$T:$T,"&gt;="&amp;DATE(YEAR(G86),MONTH(G86),1),资产漏洞表!$T:$T,"&lt;="&amp;DATE(YEAR(G86),MONTH(G86),DAY(EOMONTH(G86,0))))</f>
        <v>8</v>
      </c>
      <c r="H87" s="124">
        <f>COUNTIFS(资产漏洞表!$T:$T,"&gt;="&amp;DATE(YEAR(H86),MONTH(H86),1),资产漏洞表!$T:$T,"&lt;="&amp;DATE(YEAR(H86),MONTH(H86),DAY(EOMONTH(H86,0))))</f>
        <v>0</v>
      </c>
      <c r="I87" s="124">
        <f>COUNTIFS(资产漏洞表!$T:$T,"&gt;="&amp;DATE(YEAR(I86),MONTH(I86),1),资产漏洞表!$T:$T,"&lt;="&amp;DATE(YEAR(I86),MONTH(I86),DAY(EOMONTH(I86,0))))</f>
        <v>0</v>
      </c>
      <c r="J87" s="124">
        <f>COUNTIFS(资产漏洞表!$T:$T,"&gt;="&amp;DATE(YEAR(J86),MONTH(J86),1),资产漏洞表!$T:$T,"&lt;="&amp;DATE(YEAR(J86),MONTH(J86),DAY(EOMONTH(J86,0))))</f>
        <v>0</v>
      </c>
      <c r="K87" s="124">
        <f>COUNTIFS(资产漏洞表!$T:$T,"&gt;="&amp;DATE(YEAR(K86),MONTH(K86),1),资产漏洞表!$T:$T,"&lt;="&amp;DATE(YEAR(K86),MONTH(K86),DAY(EOMONTH(K86,0))))</f>
        <v>0</v>
      </c>
      <c r="L87" s="124">
        <f>COUNTIFS(资产漏洞表!$T:$T,"&gt;="&amp;DATE(YEAR(L86),MONTH(L86),1),资产漏洞表!$T:$T,"&lt;="&amp;DATE(YEAR(L86),MONTH(L86),DAY(EOMONTH(L86,0))))</f>
        <v>0</v>
      </c>
      <c r="M87" s="124">
        <f>COUNTIFS(资产漏洞表!$T:$T,"&gt;="&amp;DATE(YEAR(M86),MONTH(M86),1),资产漏洞表!$T:$T,"&lt;="&amp;DATE(YEAR(M86),MONTH(M86),DAY(EOMONTH(M86,0))))</f>
        <v>0</v>
      </c>
      <c r="N87" s="124">
        <f>COUNTIFS(资产漏洞表!$T:$T,"&gt;="&amp;DATE(YEAR(N86),MONTH(N86),1),资产漏洞表!$T:$T,"&lt;="&amp;DATE(YEAR(N86),MONTH(N86),DAY(EOMONTH(N86,0))))</f>
        <v>0</v>
      </c>
    </row>
    <row r="88" spans="2:14">
      <c r="B88" s="124" t="s">
        <v>158</v>
      </c>
      <c r="C88" s="124">
        <f>COUNTIFS(资产漏洞表!P:P,"*已*",资产漏洞表!$T:$T,"&gt;="&amp;DATE(YEAR(C86),MONTH(C86),1),资产漏洞表!$T:$T,"&lt;="&amp;DATE(YEAR(C86),MONTH(C86),DAY(EOMONTH(C86,0))))</f>
        <v>0</v>
      </c>
      <c r="D88" s="124">
        <f>COUNTIFS(资产漏洞表!Q:Q,"*已*",资产漏洞表!$T:$T,"&gt;="&amp;DATE(YEAR(D86),MONTH(D86),1),资产漏洞表!$T:$T,"&lt;="&amp;DATE(YEAR(D86),MONTH(D86),DAY(EOMONTH(D86,0))))</f>
        <v>0</v>
      </c>
      <c r="E88" s="124">
        <f>COUNTIFS(资产漏洞表!R:R,"*已*",资产漏洞表!$T:$T,"&gt;="&amp;DATE(YEAR(E86),MONTH(E86),1),资产漏洞表!$T:$T,"&lt;="&amp;DATE(YEAR(E86),MONTH(E86),DAY(EOMONTH(E86,0))))</f>
        <v>0</v>
      </c>
      <c r="F88" s="124">
        <f>COUNTIFS(资产漏洞表!S:S,"*已*",资产漏洞表!$T:$T,"&gt;="&amp;DATE(YEAR(F86),MONTH(F86),1),资产漏洞表!$T:$T,"&lt;="&amp;DATE(YEAR(F86),MONTH(F86),DAY(EOMONTH(F86,0))))</f>
        <v>0</v>
      </c>
      <c r="G88" s="124">
        <f>COUNTIFS(资产漏洞表!T:T,"*已*",资产漏洞表!$T:$T,"&gt;="&amp;DATE(YEAR(G86),MONTH(G86),1),资产漏洞表!$T:$T,"&lt;="&amp;DATE(YEAR(G86),MONTH(G86),DAY(EOMONTH(G86,0))))</f>
        <v>0</v>
      </c>
      <c r="H88" s="124">
        <f>COUNTIFS(资产漏洞表!U:U,"*已*",资产漏洞表!$T:$T,"&gt;="&amp;DATE(YEAR(H86),MONTH(H86),1),资产漏洞表!$T:$T,"&lt;="&amp;DATE(YEAR(H86),MONTH(H86),DAY(EOMONTH(H86,0))))</f>
        <v>0</v>
      </c>
      <c r="I88" s="124">
        <f>COUNTIFS(资产漏洞表!V:V,"*已*",资产漏洞表!$T:$T,"&gt;="&amp;DATE(YEAR(I86),MONTH(I86),1),资产漏洞表!$T:$T,"&lt;="&amp;DATE(YEAR(I86),MONTH(I86),DAY(EOMONTH(I86,0))))</f>
        <v>0</v>
      </c>
      <c r="J88" s="124">
        <f>COUNTIFS(资产漏洞表!W:W,"*已*",资产漏洞表!$T:$T,"&gt;="&amp;DATE(YEAR(J86),MONTH(J86),1),资产漏洞表!$T:$T,"&lt;="&amp;DATE(YEAR(J86),MONTH(J86),DAY(EOMONTH(J86,0))))</f>
        <v>0</v>
      </c>
      <c r="K88" s="124">
        <f>COUNTIFS(资产漏洞表!X:X,"*已*",资产漏洞表!$T:$T,"&gt;="&amp;DATE(YEAR(K86),MONTH(K86),1),资产漏洞表!$T:$T,"&lt;="&amp;DATE(YEAR(K86),MONTH(K86),DAY(EOMONTH(K86,0))))</f>
        <v>0</v>
      </c>
      <c r="L88" s="124">
        <f>COUNTIFS(资产漏洞表!Y:Y,"*已*",资产漏洞表!$T:$T,"&gt;="&amp;DATE(YEAR(L86),MONTH(L86),1),资产漏洞表!$T:$T,"&lt;="&amp;DATE(YEAR(L86),MONTH(L86),DAY(EOMONTH(L86,0))))</f>
        <v>0</v>
      </c>
      <c r="M88" s="124">
        <f>COUNTIFS(资产漏洞表!Z:Z,"*已*",资产漏洞表!$T:$T,"&gt;="&amp;DATE(YEAR(M86),MONTH(M86),1),资产漏洞表!$T:$T,"&lt;="&amp;DATE(YEAR(M86),MONTH(M86),DAY(EOMONTH(M86,0))))</f>
        <v>0</v>
      </c>
      <c r="N88" s="124">
        <f>COUNTIFS(资产漏洞表!AA:AA,"*已*",资产漏洞表!$T:$T,"&gt;="&amp;DATE(YEAR(N86),MONTH(N86),1),资产漏洞表!$T:$T,"&lt;="&amp;DATE(YEAR(N86),MONTH(N86),DAY(EOMONTH(N86,0))))</f>
        <v>0</v>
      </c>
    </row>
    <row r="90" spans="2:8">
      <c r="B90" s="118" t="s">
        <v>159</v>
      </c>
      <c r="C90" s="106" t="s">
        <v>160</v>
      </c>
      <c r="D90" s="117">
        <v>4</v>
      </c>
      <c r="E90" s="126" t="s">
        <v>161</v>
      </c>
      <c r="F90" s="106"/>
      <c r="G90" s="106" t="s">
        <v>162</v>
      </c>
      <c r="H90" s="124" t="s">
        <v>163</v>
      </c>
    </row>
    <row r="91" spans="2:8">
      <c r="B91" s="116" t="s">
        <v>164</v>
      </c>
      <c r="C91" s="106" t="s">
        <v>165</v>
      </c>
      <c r="D91" s="117">
        <v>0</v>
      </c>
      <c r="E91" s="128"/>
      <c r="F91" s="178" t="s">
        <v>166</v>
      </c>
      <c r="G91" s="157">
        <v>9623</v>
      </c>
      <c r="H91" s="145">
        <v>1</v>
      </c>
    </row>
    <row r="92" spans="2:8">
      <c r="B92" s="179"/>
      <c r="C92" s="106" t="s">
        <v>167</v>
      </c>
      <c r="D92" s="145">
        <v>1</v>
      </c>
      <c r="E92" s="128"/>
      <c r="F92" s="178" t="s">
        <v>168</v>
      </c>
      <c r="G92" s="157">
        <v>28655</v>
      </c>
      <c r="H92" s="145">
        <v>1</v>
      </c>
    </row>
    <row r="93" spans="2:8">
      <c r="B93" s="122"/>
      <c r="C93" s="139"/>
      <c r="D93" s="180"/>
      <c r="E93" s="128"/>
      <c r="F93" s="178" t="s">
        <v>169</v>
      </c>
      <c r="G93" s="157">
        <v>3461</v>
      </c>
      <c r="H93" s="145">
        <v>1</v>
      </c>
    </row>
    <row r="94" spans="2:8">
      <c r="B94" s="122"/>
      <c r="C94" s="139"/>
      <c r="D94" s="180"/>
      <c r="E94" s="128"/>
      <c r="F94" s="178" t="s">
        <v>170</v>
      </c>
      <c r="G94" s="157">
        <v>16440</v>
      </c>
      <c r="H94" s="145">
        <v>1</v>
      </c>
    </row>
    <row r="95" spans="2:8">
      <c r="B95" s="122"/>
      <c r="C95" s="139"/>
      <c r="D95" s="180"/>
      <c r="E95" s="128"/>
      <c r="F95" s="178"/>
      <c r="G95" s="117"/>
      <c r="H95" s="145"/>
    </row>
    <row r="96" spans="2:8">
      <c r="B96" s="122"/>
      <c r="C96" s="139"/>
      <c r="D96" s="139"/>
      <c r="E96" s="128"/>
      <c r="F96" s="178"/>
      <c r="G96" s="117"/>
      <c r="H96" s="145"/>
    </row>
    <row r="97" spans="2:8">
      <c r="B97" s="154"/>
      <c r="C97" s="181"/>
      <c r="D97" s="167"/>
      <c r="E97" s="182"/>
      <c r="F97" s="178"/>
      <c r="G97" s="117"/>
      <c r="H97" s="145"/>
    </row>
    <row r="99" spans="2:8">
      <c r="B99" s="136" t="s">
        <v>171</v>
      </c>
      <c r="C99" s="106" t="s">
        <v>172</v>
      </c>
      <c r="D99" s="106"/>
      <c r="F99" t="s">
        <v>173</v>
      </c>
      <c r="G99" s="183">
        <v>1</v>
      </c>
      <c r="H99" s="166"/>
    </row>
    <row r="100" spans="2:8">
      <c r="B100" s="122"/>
      <c r="C100" s="106" t="s">
        <v>174</v>
      </c>
      <c r="D100" s="106" t="s">
        <v>24</v>
      </c>
      <c r="F100" s="184" t="s">
        <v>175</v>
      </c>
      <c r="G100" s="183">
        <v>2</v>
      </c>
      <c r="H100" s="134"/>
    </row>
    <row r="101" spans="2:8">
      <c r="B101" s="122"/>
      <c r="C101" s="106" t="s">
        <v>176</v>
      </c>
      <c r="D101" s="183">
        <v>1</v>
      </c>
      <c r="F101" s="184" t="s">
        <v>177</v>
      </c>
      <c r="G101" s="183">
        <v>3</v>
      </c>
      <c r="H101" s="134"/>
    </row>
    <row r="102" spans="2:8">
      <c r="B102" s="122"/>
      <c r="C102" s="106" t="s">
        <v>178</v>
      </c>
      <c r="D102" s="183">
        <v>1</v>
      </c>
      <c r="F102" s="184" t="s">
        <v>179</v>
      </c>
      <c r="G102" s="183">
        <v>4</v>
      </c>
      <c r="H102" s="134"/>
    </row>
    <row r="103" spans="2:8">
      <c r="B103" s="122"/>
      <c r="C103" s="106" t="s">
        <v>180</v>
      </c>
      <c r="D103" s="106" t="s">
        <v>24</v>
      </c>
      <c r="F103" s="184" t="s">
        <v>181</v>
      </c>
      <c r="G103" s="183">
        <v>5</v>
      </c>
      <c r="H103" s="134"/>
    </row>
    <row r="104" spans="2:8">
      <c r="B104" s="122"/>
      <c r="C104" s="106" t="s">
        <v>182</v>
      </c>
      <c r="D104" s="106" t="s">
        <v>24</v>
      </c>
      <c r="F104" s="184" t="s">
        <v>183</v>
      </c>
      <c r="G104" s="183">
        <v>6</v>
      </c>
      <c r="H104" s="134"/>
    </row>
    <row r="105" spans="2:7">
      <c r="B105" s="122"/>
      <c r="C105" s="106" t="s">
        <v>184</v>
      </c>
      <c r="D105" s="183">
        <v>1</v>
      </c>
      <c r="F105" s="184" t="s">
        <v>185</v>
      </c>
      <c r="G105" s="183">
        <v>7</v>
      </c>
    </row>
    <row r="106" spans="2:8">
      <c r="B106" s="154"/>
      <c r="C106" s="106" t="s">
        <v>180</v>
      </c>
      <c r="D106" s="106" t="s">
        <v>24</v>
      </c>
      <c r="E106" s="167"/>
      <c r="F106" s="184" t="s">
        <v>186</v>
      </c>
      <c r="G106" s="183">
        <v>8</v>
      </c>
      <c r="H106" s="134"/>
    </row>
    <row r="107" spans="2:8">
      <c r="B107" s="154"/>
      <c r="C107" s="167"/>
      <c r="D107" s="185"/>
      <c r="E107" s="167"/>
      <c r="F107" s="184" t="s">
        <v>187</v>
      </c>
      <c r="G107" s="183">
        <v>9</v>
      </c>
      <c r="H107" s="168"/>
    </row>
    <row r="108" spans="6:6">
      <c r="F108" s="186"/>
    </row>
    <row r="109" spans="2:8">
      <c r="B109" s="118" t="s">
        <v>188</v>
      </c>
      <c r="C109" s="147"/>
      <c r="D109" s="147"/>
      <c r="E109" s="147"/>
      <c r="F109" s="187"/>
      <c r="G109" s="147"/>
      <c r="H109" s="166"/>
    </row>
    <row r="110" spans="2:7">
      <c r="B110" s="130"/>
      <c r="C110" s="188" t="s">
        <v>189</v>
      </c>
      <c r="D110" s="106">
        <v>1</v>
      </c>
      <c r="F110" s="106" t="s">
        <v>190</v>
      </c>
      <c r="G110" s="106">
        <v>10</v>
      </c>
    </row>
    <row r="111" spans="2:8">
      <c r="B111" s="133"/>
      <c r="C111" s="188" t="s">
        <v>191</v>
      </c>
      <c r="D111" s="106">
        <v>2</v>
      </c>
      <c r="F111" s="189" t="s">
        <v>192</v>
      </c>
      <c r="G111" s="106">
        <v>11</v>
      </c>
      <c r="H111" s="134"/>
    </row>
    <row r="112" spans="2:8">
      <c r="B112" s="133"/>
      <c r="C112" s="188" t="s">
        <v>31</v>
      </c>
      <c r="D112" s="106">
        <v>3</v>
      </c>
      <c r="F112" s="189" t="s">
        <v>193</v>
      </c>
      <c r="G112" s="106">
        <v>12</v>
      </c>
      <c r="H112" s="134"/>
    </row>
    <row r="113" spans="2:8">
      <c r="B113" s="133"/>
      <c r="C113" s="188" t="s">
        <v>194</v>
      </c>
      <c r="D113" s="106">
        <v>4</v>
      </c>
      <c r="F113" s="189" t="s">
        <v>195</v>
      </c>
      <c r="G113" s="106">
        <v>13</v>
      </c>
      <c r="H113" s="134"/>
    </row>
    <row r="114" spans="2:8">
      <c r="B114" s="133"/>
      <c r="C114" s="189" t="s">
        <v>196</v>
      </c>
      <c r="D114" s="106">
        <v>5</v>
      </c>
      <c r="F114" s="189" t="s">
        <v>197</v>
      </c>
      <c r="G114" s="106">
        <v>14</v>
      </c>
      <c r="H114" s="134"/>
    </row>
    <row r="115" spans="2:8">
      <c r="B115" s="133"/>
      <c r="C115" s="189" t="s">
        <v>190</v>
      </c>
      <c r="D115" s="106">
        <v>6</v>
      </c>
      <c r="F115" s="189" t="s">
        <v>198</v>
      </c>
      <c r="G115" s="106">
        <v>15</v>
      </c>
      <c r="H115" s="134"/>
    </row>
    <row r="116" spans="2:8">
      <c r="B116" s="133"/>
      <c r="C116" s="189" t="s">
        <v>37</v>
      </c>
      <c r="D116" s="106">
        <v>7</v>
      </c>
      <c r="F116" s="189" t="s">
        <v>199</v>
      </c>
      <c r="G116" s="106">
        <v>16</v>
      </c>
      <c r="H116" s="134"/>
    </row>
    <row r="117" spans="2:8">
      <c r="B117" s="133"/>
      <c r="C117" s="189" t="s">
        <v>39</v>
      </c>
      <c r="D117" s="106">
        <v>8</v>
      </c>
      <c r="F117" s="189" t="s">
        <v>200</v>
      </c>
      <c r="G117" s="106">
        <v>17</v>
      </c>
      <c r="H117" s="134"/>
    </row>
    <row r="118" spans="2:7">
      <c r="B118" s="133"/>
      <c r="C118" s="189" t="s">
        <v>201</v>
      </c>
      <c r="D118" s="106">
        <v>9</v>
      </c>
      <c r="F118" s="189" t="s">
        <v>202</v>
      </c>
      <c r="G118" s="106">
        <v>18</v>
      </c>
    </row>
    <row r="119" spans="2:8">
      <c r="B119" s="190"/>
      <c r="C119" s="167"/>
      <c r="D119" s="167"/>
      <c r="E119" s="167"/>
      <c r="F119" s="189" t="s">
        <v>203</v>
      </c>
      <c r="G119" s="106">
        <v>19</v>
      </c>
      <c r="H119" s="168"/>
    </row>
    <row r="121" spans="2:4">
      <c r="B121" s="130" t="s">
        <v>204</v>
      </c>
      <c r="C121" s="189" t="s">
        <v>205</v>
      </c>
      <c r="D121" s="124">
        <v>1</v>
      </c>
    </row>
    <row r="122" spans="2:9">
      <c r="B122" s="133"/>
      <c r="C122" s="189" t="s">
        <v>206</v>
      </c>
      <c r="D122" s="124">
        <v>2</v>
      </c>
      <c r="F122" s="189" t="s">
        <v>189</v>
      </c>
      <c r="G122" s="106">
        <v>7</v>
      </c>
      <c r="H122" s="189" t="s">
        <v>207</v>
      </c>
      <c r="I122" s="192">
        <v>12</v>
      </c>
    </row>
    <row r="123" spans="2:9">
      <c r="B123" s="133"/>
      <c r="C123" s="189" t="s">
        <v>208</v>
      </c>
      <c r="D123" s="124">
        <v>3</v>
      </c>
      <c r="F123" s="189" t="s">
        <v>190</v>
      </c>
      <c r="G123" s="106">
        <v>8</v>
      </c>
      <c r="H123" s="189" t="s">
        <v>209</v>
      </c>
      <c r="I123" s="192">
        <v>13</v>
      </c>
    </row>
    <row r="124" spans="2:9">
      <c r="B124" s="133"/>
      <c r="C124" s="189" t="s">
        <v>210</v>
      </c>
      <c r="D124" s="124">
        <v>4</v>
      </c>
      <c r="F124" s="189" t="s">
        <v>39</v>
      </c>
      <c r="G124" s="106">
        <v>9</v>
      </c>
      <c r="H124" s="189" t="s">
        <v>211</v>
      </c>
      <c r="I124" s="192">
        <v>14</v>
      </c>
    </row>
    <row r="125" spans="2:9">
      <c r="B125" s="133"/>
      <c r="C125" s="189" t="s">
        <v>212</v>
      </c>
      <c r="D125" s="124">
        <v>5</v>
      </c>
      <c r="F125" s="189" t="s">
        <v>213</v>
      </c>
      <c r="G125" s="106">
        <v>10</v>
      </c>
      <c r="H125" s="189" t="s">
        <v>214</v>
      </c>
      <c r="I125" s="192">
        <v>15</v>
      </c>
    </row>
    <row r="126" spans="2:9">
      <c r="B126" s="190"/>
      <c r="C126" s="189" t="s">
        <v>215</v>
      </c>
      <c r="D126" s="124">
        <v>6</v>
      </c>
      <c r="E126" s="167"/>
      <c r="F126" s="189" t="s">
        <v>216</v>
      </c>
      <c r="G126" s="106">
        <v>11</v>
      </c>
      <c r="H126" s="189" t="s">
        <v>217</v>
      </c>
      <c r="I126" s="192">
        <v>16</v>
      </c>
    </row>
    <row r="128" spans="2:4">
      <c r="B128" s="138" t="s">
        <v>218</v>
      </c>
      <c r="C128" s="106" t="s">
        <v>219</v>
      </c>
      <c r="D128" s="117">
        <v>100</v>
      </c>
    </row>
    <row r="129" spans="2:4">
      <c r="B129" s="140" t="s">
        <v>220</v>
      </c>
      <c r="C129" s="106" t="s">
        <v>221</v>
      </c>
      <c r="D129" s="117">
        <v>101</v>
      </c>
    </row>
    <row r="130" spans="2:4">
      <c r="B130" s="142"/>
      <c r="C130" s="106" t="s">
        <v>222</v>
      </c>
      <c r="D130" s="117">
        <v>102</v>
      </c>
    </row>
    <row r="132" spans="2:6">
      <c r="B132" s="106" t="s">
        <v>223</v>
      </c>
      <c r="C132" s="193"/>
      <c r="F132" s="193"/>
    </row>
    <row r="133" spans="2:6">
      <c r="B133" s="106" t="s">
        <v>224</v>
      </c>
      <c r="C133" t="s">
        <v>225</v>
      </c>
      <c r="D133" t="s">
        <v>226</v>
      </c>
      <c r="E133" t="s">
        <v>227</v>
      </c>
      <c r="F133" t="s">
        <v>228</v>
      </c>
    </row>
    <row r="134" spans="2:6">
      <c r="B134" s="106" t="s">
        <v>229</v>
      </c>
      <c r="C134" s="194">
        <v>0.25</v>
      </c>
      <c r="D134" s="194">
        <v>0.25</v>
      </c>
      <c r="E134" s="194">
        <v>0.25</v>
      </c>
      <c r="F134" s="194">
        <v>0.25</v>
      </c>
    </row>
    <row r="135" spans="2:4">
      <c r="B135" s="106" t="s">
        <v>230</v>
      </c>
      <c r="C135" t="s">
        <v>225</v>
      </c>
      <c r="D135" t="s">
        <v>226</v>
      </c>
    </row>
    <row r="136" spans="2:4">
      <c r="B136" s="106" t="s">
        <v>231</v>
      </c>
      <c r="C136">
        <v>10</v>
      </c>
      <c r="D136">
        <v>10</v>
      </c>
    </row>
    <row r="137" spans="2:4">
      <c r="B137" s="106" t="s">
        <v>232</v>
      </c>
      <c r="C137" s="194">
        <v>0.5</v>
      </c>
      <c r="D137" s="194">
        <v>0.5</v>
      </c>
    </row>
  </sheetData>
  <mergeCells count="16">
    <mergeCell ref="B1:F1"/>
    <mergeCell ref="F3:G3"/>
    <mergeCell ref="B70:N70"/>
    <mergeCell ref="B3:B6"/>
    <mergeCell ref="B7:B9"/>
    <mergeCell ref="B48:B49"/>
    <mergeCell ref="B51:B55"/>
    <mergeCell ref="B62:B64"/>
    <mergeCell ref="B65:B66"/>
    <mergeCell ref="B67:B68"/>
    <mergeCell ref="B79:B81"/>
    <mergeCell ref="B82:B85"/>
    <mergeCell ref="B91:B92"/>
    <mergeCell ref="C3:C5"/>
    <mergeCell ref="E51:E55"/>
    <mergeCell ref="E90:E97"/>
  </mergeCell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B1:N29"/>
  <sheetViews>
    <sheetView showGridLines="0" zoomScale="95" zoomScaleNormal="95" topLeftCell="A18" workbookViewId="0">
      <selection activeCell="L26" sqref="L26"/>
    </sheetView>
  </sheetViews>
  <sheetFormatPr defaultColWidth="8.89814814814815" defaultRowHeight="14.4"/>
  <cols>
    <col min="1" max="1" width="2.66666666666667" customWidth="1"/>
    <col min="2" max="2" width="15.6666666666667" customWidth="1"/>
    <col min="3" max="3" width="24.3055555555556" customWidth="1"/>
    <col min="4" max="4" width="39.1018518518519" customWidth="1"/>
    <col min="5" max="5" width="32.2222222222222" customWidth="1"/>
    <col min="6" max="6" width="17" customWidth="1"/>
    <col min="7" max="7" width="13.1018518518519" customWidth="1"/>
    <col min="9" max="9" width="17.8888888888889" customWidth="1"/>
    <col min="10" max="10" width="48.3333333333333" customWidth="1"/>
    <col min="11" max="11" width="48.0648148148148" customWidth="1"/>
    <col min="12" max="12" width="76.3888888888889" customWidth="1"/>
    <col min="13" max="13" width="44.0648148148148" customWidth="1"/>
    <col min="14" max="14" width="37.3981481481481" customWidth="1"/>
  </cols>
  <sheetData>
    <row r="1" ht="7.05" customHeight="1"/>
    <row r="2" ht="25.05" customHeight="1" spans="2:7">
      <c r="B2" s="48" t="s">
        <v>233</v>
      </c>
      <c r="C2" s="49"/>
      <c r="D2" s="49"/>
      <c r="E2" s="49"/>
      <c r="F2" s="49"/>
      <c r="G2" s="50"/>
    </row>
    <row r="3" ht="25.05" customHeight="1" spans="2:7">
      <c r="B3" s="51" t="s">
        <v>234</v>
      </c>
      <c r="C3" s="52" t="s">
        <v>235</v>
      </c>
      <c r="D3" s="52" t="s">
        <v>236</v>
      </c>
      <c r="E3" s="52" t="s">
        <v>237</v>
      </c>
      <c r="F3" s="52" t="s">
        <v>238</v>
      </c>
      <c r="G3" s="53"/>
    </row>
    <row r="4" ht="28.8" spans="2:7">
      <c r="B4" s="54" t="s">
        <v>239</v>
      </c>
      <c r="C4" s="52" t="s">
        <v>240</v>
      </c>
      <c r="D4" s="55" t="s">
        <v>241</v>
      </c>
      <c r="E4" s="55" t="s">
        <v>242</v>
      </c>
      <c r="F4" s="52" t="s">
        <v>243</v>
      </c>
      <c r="G4" s="53"/>
    </row>
    <row r="5" ht="28.8" spans="2:7">
      <c r="B5" s="56"/>
      <c r="C5" s="52" t="s">
        <v>244</v>
      </c>
      <c r="D5" s="55" t="s">
        <v>245</v>
      </c>
      <c r="E5" s="55" t="s">
        <v>246</v>
      </c>
      <c r="F5" s="52" t="s">
        <v>247</v>
      </c>
      <c r="G5" s="53"/>
    </row>
    <row r="6" ht="49.95" customHeight="1" spans="2:7">
      <c r="B6" s="57"/>
      <c r="C6" t="s">
        <v>248</v>
      </c>
      <c r="D6" s="58" t="s">
        <v>249</v>
      </c>
      <c r="E6" s="58" t="s">
        <v>250</v>
      </c>
      <c r="F6" s="52" t="s">
        <v>251</v>
      </c>
      <c r="G6" s="53"/>
    </row>
    <row r="7" ht="66" customHeight="1" spans="2:7">
      <c r="B7" s="54" t="s">
        <v>252</v>
      </c>
      <c r="C7" s="59" t="s">
        <v>253</v>
      </c>
      <c r="D7" s="55" t="s">
        <v>254</v>
      </c>
      <c r="E7" s="55" t="s">
        <v>255</v>
      </c>
      <c r="F7" s="52" t="s">
        <v>243</v>
      </c>
      <c r="G7" s="53"/>
    </row>
    <row r="8" ht="54" customHeight="1" spans="2:7">
      <c r="B8" s="56"/>
      <c r="C8" s="60"/>
      <c r="D8" s="61" t="s">
        <v>256</v>
      </c>
      <c r="E8" s="55" t="s">
        <v>257</v>
      </c>
      <c r="F8" s="52" t="s">
        <v>243</v>
      </c>
      <c r="G8" s="53"/>
    </row>
    <row r="9" ht="63" customHeight="1" spans="2:7">
      <c r="B9" s="56"/>
      <c r="C9" s="59" t="s">
        <v>258</v>
      </c>
      <c r="D9" s="55" t="s">
        <v>259</v>
      </c>
      <c r="E9" s="55" t="s">
        <v>255</v>
      </c>
      <c r="F9" s="52" t="s">
        <v>243</v>
      </c>
      <c r="G9" s="53"/>
    </row>
    <row r="10" ht="66" customHeight="1" spans="2:7">
      <c r="B10" s="57"/>
      <c r="C10" s="60"/>
      <c r="D10" s="55" t="s">
        <v>256</v>
      </c>
      <c r="E10" s="55" t="s">
        <v>257</v>
      </c>
      <c r="F10" s="52" t="s">
        <v>243</v>
      </c>
      <c r="G10" s="53"/>
    </row>
    <row r="11" ht="45" customHeight="1" spans="2:7">
      <c r="B11" s="54" t="s">
        <v>260</v>
      </c>
      <c r="C11" s="52" t="s">
        <v>261</v>
      </c>
      <c r="D11" s="55" t="s">
        <v>262</v>
      </c>
      <c r="E11" s="55" t="s">
        <v>263</v>
      </c>
      <c r="F11" s="52" t="s">
        <v>251</v>
      </c>
      <c r="G11" s="53"/>
    </row>
    <row r="12" ht="75" customHeight="1" spans="2:7">
      <c r="B12" s="56"/>
      <c r="C12" s="52" t="s">
        <v>264</v>
      </c>
      <c r="D12" s="55" t="s">
        <v>265</v>
      </c>
      <c r="E12" s="55" t="s">
        <v>263</v>
      </c>
      <c r="F12" s="52" t="s">
        <v>251</v>
      </c>
      <c r="G12" s="53"/>
    </row>
    <row r="13" ht="87" customHeight="1" spans="2:7">
      <c r="B13" s="56"/>
      <c r="C13" s="62" t="s">
        <v>266</v>
      </c>
      <c r="D13" s="62" t="s">
        <v>267</v>
      </c>
      <c r="E13" s="62" t="s">
        <v>263</v>
      </c>
      <c r="F13" s="63" t="s">
        <v>268</v>
      </c>
      <c r="G13" s="64"/>
    </row>
    <row r="14" ht="25.05" customHeight="1" spans="2:7">
      <c r="B14" s="48" t="s">
        <v>7</v>
      </c>
      <c r="C14" s="49"/>
      <c r="D14" s="49"/>
      <c r="E14" s="49"/>
      <c r="F14" s="49"/>
      <c r="G14" s="50"/>
    </row>
    <row r="15" ht="73.95" customHeight="1" spans="2:7">
      <c r="B15" s="51"/>
      <c r="C15" s="52" t="s">
        <v>269</v>
      </c>
      <c r="D15" s="55" t="s">
        <v>270</v>
      </c>
      <c r="E15" s="55" t="s">
        <v>271</v>
      </c>
      <c r="F15" s="52" t="s">
        <v>272</v>
      </c>
      <c r="G15" s="53"/>
    </row>
    <row r="16" ht="57.6" spans="2:7">
      <c r="B16" s="65"/>
      <c r="C16" s="63" t="s">
        <v>273</v>
      </c>
      <c r="D16" s="62" t="s">
        <v>274</v>
      </c>
      <c r="E16" s="62" t="s">
        <v>271</v>
      </c>
      <c r="F16" s="63" t="s">
        <v>272</v>
      </c>
      <c r="G16" s="64"/>
    </row>
    <row r="17" ht="58.05" customHeight="1" spans="2:7">
      <c r="B17" s="66"/>
      <c r="C17" s="67" t="s">
        <v>275</v>
      </c>
      <c r="D17" s="68" t="s">
        <v>276</v>
      </c>
      <c r="E17" s="68" t="s">
        <v>277</v>
      </c>
      <c r="F17" s="67" t="s">
        <v>278</v>
      </c>
      <c r="G17" s="69"/>
    </row>
    <row r="18" ht="25.05" customHeight="1"/>
    <row r="19" ht="34.05" customHeight="1" spans="2:8">
      <c r="B19" s="70" t="s">
        <v>279</v>
      </c>
      <c r="C19" s="71"/>
      <c r="D19" s="71"/>
      <c r="E19" s="71"/>
      <c r="F19" s="71"/>
      <c r="G19" s="71"/>
      <c r="H19" s="71"/>
    </row>
    <row r="20" ht="82.95" customHeight="1" spans="2:14">
      <c r="B20" s="72" t="s">
        <v>280</v>
      </c>
      <c r="C20" s="73"/>
      <c r="D20" s="73"/>
      <c r="E20" s="73"/>
      <c r="F20" s="73"/>
      <c r="G20" s="73"/>
      <c r="H20" s="73"/>
      <c r="J20" s="72" t="s">
        <v>281</v>
      </c>
      <c r="K20" s="73"/>
      <c r="L20" s="73"/>
      <c r="M20" s="73"/>
      <c r="N20" s="73"/>
    </row>
    <row r="21" ht="25.95" customHeight="1" spans="2:14">
      <c r="B21" s="74" t="s">
        <v>282</v>
      </c>
      <c r="C21" s="75" t="s">
        <v>283</v>
      </c>
      <c r="D21" s="76" t="s">
        <v>284</v>
      </c>
      <c r="E21" s="77" t="s">
        <v>285</v>
      </c>
      <c r="F21" s="78"/>
      <c r="G21" s="79"/>
      <c r="H21" s="80"/>
      <c r="J21" s="100" t="s">
        <v>286</v>
      </c>
      <c r="K21" s="101" t="s">
        <v>287</v>
      </c>
      <c r="L21" s="101" t="s">
        <v>288</v>
      </c>
      <c r="M21" s="101" t="s">
        <v>289</v>
      </c>
      <c r="N21" s="101" t="s">
        <v>290</v>
      </c>
    </row>
    <row r="22" ht="102" customHeight="1" spans="2:14">
      <c r="B22" s="81" t="s">
        <v>291</v>
      </c>
      <c r="C22" s="82" t="s">
        <v>292</v>
      </c>
      <c r="D22" s="83" t="s">
        <v>293</v>
      </c>
      <c r="E22" s="84" t="s">
        <v>294</v>
      </c>
      <c r="F22" s="85"/>
      <c r="G22" s="86"/>
      <c r="H22" s="53"/>
      <c r="J22" s="102" t="s">
        <v>295</v>
      </c>
      <c r="K22" s="103" t="s">
        <v>296</v>
      </c>
      <c r="L22" s="104" t="s">
        <v>297</v>
      </c>
      <c r="M22" s="105" t="s">
        <v>298</v>
      </c>
      <c r="N22" s="106" t="s">
        <v>299</v>
      </c>
    </row>
    <row r="23" ht="101" customHeight="1" spans="2:14">
      <c r="B23" s="81"/>
      <c r="C23" s="82" t="s">
        <v>300</v>
      </c>
      <c r="D23" s="83" t="s">
        <v>269</v>
      </c>
      <c r="E23" s="87" t="s">
        <v>301</v>
      </c>
      <c r="F23" s="88"/>
      <c r="G23" s="89"/>
      <c r="H23" s="53"/>
      <c r="J23" s="107" t="s">
        <v>302</v>
      </c>
      <c r="K23" s="103" t="s">
        <v>303</v>
      </c>
      <c r="L23" s="105" t="s">
        <v>304</v>
      </c>
      <c r="M23" s="105" t="s">
        <v>305</v>
      </c>
      <c r="N23" s="106" t="s">
        <v>299</v>
      </c>
    </row>
    <row r="24" ht="105" customHeight="1" spans="2:14">
      <c r="B24" s="81" t="s">
        <v>306</v>
      </c>
      <c r="C24" s="90" t="s">
        <v>307</v>
      </c>
      <c r="D24" s="84" t="s">
        <v>293</v>
      </c>
      <c r="E24" s="84" t="s">
        <v>308</v>
      </c>
      <c r="F24" s="88"/>
      <c r="G24" s="89"/>
      <c r="H24" s="53"/>
      <c r="J24" s="108" t="s">
        <v>309</v>
      </c>
      <c r="K24" s="103" t="s">
        <v>310</v>
      </c>
      <c r="L24" s="105" t="s">
        <v>311</v>
      </c>
      <c r="M24" s="105" t="s">
        <v>312</v>
      </c>
      <c r="N24" s="106" t="s">
        <v>313</v>
      </c>
    </row>
    <row r="25" ht="66" customHeight="1" spans="2:14">
      <c r="B25" s="81"/>
      <c r="C25" s="82" t="s">
        <v>314</v>
      </c>
      <c r="D25" s="83" t="s">
        <v>315</v>
      </c>
      <c r="E25" s="84" t="s">
        <v>316</v>
      </c>
      <c r="F25" s="88"/>
      <c r="G25" s="89"/>
      <c r="H25" s="53"/>
      <c r="J25" s="109" t="s">
        <v>269</v>
      </c>
      <c r="K25" s="103" t="s">
        <v>317</v>
      </c>
      <c r="L25" s="105" t="s">
        <v>318</v>
      </c>
      <c r="M25" s="105" t="s">
        <v>319</v>
      </c>
      <c r="N25" s="106" t="s">
        <v>320</v>
      </c>
    </row>
    <row r="26" ht="51" customHeight="1" spans="2:14">
      <c r="B26" s="81" t="s">
        <v>321</v>
      </c>
      <c r="C26" s="83" t="s">
        <v>322</v>
      </c>
      <c r="D26" s="91" t="s">
        <v>293</v>
      </c>
      <c r="E26" s="85" t="s">
        <v>323</v>
      </c>
      <c r="F26" s="88"/>
      <c r="G26" s="89"/>
      <c r="H26" s="53"/>
      <c r="J26" s="110" t="s">
        <v>273</v>
      </c>
      <c r="K26" s="103" t="s">
        <v>324</v>
      </c>
      <c r="L26" s="105" t="s">
        <v>325</v>
      </c>
      <c r="M26" s="105" t="s">
        <v>326</v>
      </c>
      <c r="N26" s="106" t="s">
        <v>327</v>
      </c>
    </row>
    <row r="27" ht="71" customHeight="1" spans="2:8">
      <c r="B27" s="81"/>
      <c r="C27" s="92" t="s">
        <v>328</v>
      </c>
      <c r="D27" s="93" t="s">
        <v>269</v>
      </c>
      <c r="E27" s="84" t="s">
        <v>329</v>
      </c>
      <c r="F27" s="88"/>
      <c r="G27" s="89"/>
      <c r="H27" s="53"/>
    </row>
    <row r="28" ht="55" customHeight="1" spans="2:8">
      <c r="B28" s="81" t="s">
        <v>330</v>
      </c>
      <c r="C28" s="82" t="s">
        <v>331</v>
      </c>
      <c r="D28" s="83" t="s">
        <v>315</v>
      </c>
      <c r="E28" s="84" t="s">
        <v>332</v>
      </c>
      <c r="F28" s="88"/>
      <c r="G28" s="89"/>
      <c r="H28" s="53"/>
    </row>
    <row r="29" ht="62" customHeight="1" spans="2:8">
      <c r="B29" s="94"/>
      <c r="C29" s="95" t="s">
        <v>333</v>
      </c>
      <c r="D29" s="96" t="s">
        <v>293</v>
      </c>
      <c r="E29" s="97" t="s">
        <v>334</v>
      </c>
      <c r="F29" s="98"/>
      <c r="G29" s="99"/>
      <c r="H29" s="69"/>
    </row>
  </sheetData>
  <mergeCells count="23">
    <mergeCell ref="B2:G2"/>
    <mergeCell ref="B14:G14"/>
    <mergeCell ref="B19:H19"/>
    <mergeCell ref="B20:H20"/>
    <mergeCell ref="J20:N20"/>
    <mergeCell ref="E21:G21"/>
    <mergeCell ref="E22:G22"/>
    <mergeCell ref="E23:G23"/>
    <mergeCell ref="E24:G24"/>
    <mergeCell ref="E25:G25"/>
    <mergeCell ref="E26:G26"/>
    <mergeCell ref="E27:G27"/>
    <mergeCell ref="E28:G28"/>
    <mergeCell ref="E29:G29"/>
    <mergeCell ref="B4:B6"/>
    <mergeCell ref="B7:B10"/>
    <mergeCell ref="B11:B13"/>
    <mergeCell ref="B22:B23"/>
    <mergeCell ref="B24:B25"/>
    <mergeCell ref="B26:B27"/>
    <mergeCell ref="B28:B29"/>
    <mergeCell ref="C7:C8"/>
    <mergeCell ref="C9:C10"/>
  </mergeCells>
  <dataValidations count="1">
    <dataValidation type="list" allowBlank="1" showInputMessage="1" showErrorMessage="1" sqref="F17 F4:F13">
      <formula1>"每周/次,每2周/次,每月/次,每季度/次,每半年/次,7*24实时预警,每天/次"</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workbookViewId="0">
      <selection activeCell="E4" sqref="E4"/>
    </sheetView>
  </sheetViews>
  <sheetFormatPr defaultColWidth="8.89814814814815" defaultRowHeight="14.4" outlineLevelCol="5"/>
  <cols>
    <col min="2" max="2" width="19.5555555555556" customWidth="1"/>
    <col min="3" max="3" width="13" style="8" customWidth="1"/>
    <col min="5" max="5" width="17.1481481481481" customWidth="1"/>
  </cols>
  <sheetData>
    <row r="1" s="30" customFormat="1" ht="18" customHeight="1" spans="1:6">
      <c r="A1" s="46" t="s">
        <v>335</v>
      </c>
      <c r="B1" s="46" t="s">
        <v>336</v>
      </c>
      <c r="C1" s="46" t="s">
        <v>337</v>
      </c>
      <c r="D1" s="46" t="s">
        <v>338</v>
      </c>
      <c r="E1" s="46" t="s">
        <v>149</v>
      </c>
      <c r="F1" s="46" t="s">
        <v>339</v>
      </c>
    </row>
    <row r="2" s="30" customFormat="1" ht="18" customHeight="1" spans="1:6">
      <c r="A2" s="47" t="s">
        <v>239</v>
      </c>
      <c r="B2" s="47" t="s">
        <v>340</v>
      </c>
      <c r="C2" s="47" t="s">
        <v>341</v>
      </c>
      <c r="D2" s="47" t="s">
        <v>342</v>
      </c>
      <c r="E2" s="47">
        <v>1</v>
      </c>
      <c r="F2" s="47">
        <v>0</v>
      </c>
    </row>
    <row r="3" s="30" customFormat="1" ht="18" customHeight="1" spans="1:6">
      <c r="A3" s="47"/>
      <c r="B3" s="47"/>
      <c r="C3" s="47"/>
      <c r="D3" s="47" t="s">
        <v>343</v>
      </c>
      <c r="E3" s="47">
        <v>7</v>
      </c>
      <c r="F3" s="47">
        <v>0</v>
      </c>
    </row>
    <row r="4" s="30" customFormat="1" ht="18" customHeight="1" spans="1:6">
      <c r="A4" s="47"/>
      <c r="B4" s="47"/>
      <c r="C4" s="47" t="s">
        <v>344</v>
      </c>
      <c r="D4" s="47" t="s">
        <v>344</v>
      </c>
      <c r="E4" s="47">
        <v>3</v>
      </c>
      <c r="F4" s="47">
        <v>2</v>
      </c>
    </row>
    <row r="5" s="30" customFormat="1" ht="18" customHeight="1" spans="1:6">
      <c r="A5" s="47"/>
      <c r="B5" s="47"/>
      <c r="C5" s="47" t="s">
        <v>345</v>
      </c>
      <c r="D5" s="47" t="s">
        <v>345</v>
      </c>
      <c r="E5" s="47">
        <v>27</v>
      </c>
      <c r="F5" s="47">
        <v>26</v>
      </c>
    </row>
    <row r="6" s="30" customFormat="1" ht="18" customHeight="1" spans="1:6">
      <c r="A6" s="47"/>
      <c r="B6" s="47"/>
      <c r="C6" s="47" t="s">
        <v>346</v>
      </c>
      <c r="D6" s="47" t="s">
        <v>346</v>
      </c>
      <c r="E6" s="47">
        <v>20</v>
      </c>
      <c r="F6" s="47">
        <v>19</v>
      </c>
    </row>
    <row r="7" s="30" customFormat="1" ht="18" customHeight="1" spans="1:6">
      <c r="A7" s="47"/>
      <c r="B7" s="47"/>
      <c r="C7" s="47" t="s">
        <v>347</v>
      </c>
      <c r="D7" s="47" t="s">
        <v>347</v>
      </c>
      <c r="E7" s="47">
        <v>7</v>
      </c>
      <c r="F7" s="47">
        <v>7</v>
      </c>
    </row>
    <row r="8" s="30" customFormat="1" ht="18" customHeight="1" spans="1:6">
      <c r="A8" s="47"/>
      <c r="B8" s="47"/>
      <c r="C8" s="47" t="s">
        <v>348</v>
      </c>
      <c r="D8" s="47" t="s">
        <v>348</v>
      </c>
      <c r="E8" s="47">
        <v>4</v>
      </c>
      <c r="F8" s="47">
        <v>4</v>
      </c>
    </row>
    <row r="9" s="30" customFormat="1" ht="18" customHeight="1" spans="1:6">
      <c r="A9" s="47"/>
      <c r="B9" s="47"/>
      <c r="C9" s="47" t="s">
        <v>349</v>
      </c>
      <c r="D9" s="47" t="s">
        <v>349</v>
      </c>
      <c r="E9" s="47">
        <v>0</v>
      </c>
      <c r="F9" s="47">
        <v>0</v>
      </c>
    </row>
    <row r="10" s="30" customFormat="1" ht="18" customHeight="1" spans="1:6">
      <c r="A10" s="47"/>
      <c r="B10" s="47"/>
      <c r="C10" s="47" t="s">
        <v>350</v>
      </c>
      <c r="D10" s="47" t="s">
        <v>350</v>
      </c>
      <c r="E10" s="47">
        <v>27</v>
      </c>
      <c r="F10" s="47" t="s">
        <v>351</v>
      </c>
    </row>
    <row r="11" s="30" customFormat="1" ht="18" customHeight="1" spans="1:6">
      <c r="A11" s="47"/>
      <c r="B11" s="47" t="s">
        <v>352</v>
      </c>
      <c r="C11" s="47" t="s">
        <v>353</v>
      </c>
      <c r="D11" s="47" t="s">
        <v>353</v>
      </c>
      <c r="E11" s="47">
        <v>0</v>
      </c>
      <c r="F11" s="47" t="s">
        <v>351</v>
      </c>
    </row>
    <row r="12" s="30" customFormat="1" ht="18" customHeight="1" spans="1:6">
      <c r="A12" s="47"/>
      <c r="B12" s="47"/>
      <c r="C12" s="47" t="s">
        <v>354</v>
      </c>
      <c r="D12" s="47" t="s">
        <v>354</v>
      </c>
      <c r="E12" s="47">
        <v>0</v>
      </c>
      <c r="F12" s="47" t="s">
        <v>351</v>
      </c>
    </row>
    <row r="13" s="30" customFormat="1" ht="18" customHeight="1" spans="1:6">
      <c r="A13" s="47"/>
      <c r="B13" s="47"/>
      <c r="C13" s="47" t="s">
        <v>355</v>
      </c>
      <c r="D13" s="47" t="s">
        <v>355</v>
      </c>
      <c r="E13" s="47">
        <v>0</v>
      </c>
      <c r="F13" s="47" t="s">
        <v>351</v>
      </c>
    </row>
  </sheetData>
  <autoFilter ref="A1:F13">
    <extLst/>
  </autoFilter>
  <mergeCells count="4">
    <mergeCell ref="A2:A13"/>
    <mergeCell ref="B2:B10"/>
    <mergeCell ref="B11:B13"/>
    <mergeCell ref="C2:C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9"/>
  <sheetViews>
    <sheetView workbookViewId="0">
      <selection activeCell="F17" sqref="F17"/>
    </sheetView>
  </sheetViews>
  <sheetFormatPr defaultColWidth="9" defaultRowHeight="30" customHeight="1"/>
  <cols>
    <col min="2" max="2" width="14.8981481481481" customWidth="1"/>
    <col min="4" max="4" width="9.66666666666667" customWidth="1"/>
    <col min="7" max="7" width="12.5" customWidth="1"/>
    <col min="8" max="8" width="17.7777777777778" customWidth="1"/>
    <col min="9" max="9" width="15.8611111111111" customWidth="1"/>
    <col min="10" max="10" width="30.9351851851852" style="31" customWidth="1"/>
    <col min="11" max="11" width="22.5833333333333" style="31" customWidth="1"/>
    <col min="14" max="14" width="32.212962962963" style="31" customWidth="1"/>
    <col min="15" max="15" width="13.7777777777778" customWidth="1"/>
    <col min="16" max="16" width="11.8981481481481" customWidth="1"/>
    <col min="19" max="19" width="16.537037037037" style="44" customWidth="1"/>
    <col min="20" max="20" width="17.5555555555556" style="44" customWidth="1"/>
    <col min="21" max="21" width="20.5" customWidth="1"/>
    <col min="22" max="22" width="26.4444444444444" customWidth="1"/>
  </cols>
  <sheetData>
    <row r="1" customHeight="1" spans="1:23">
      <c r="A1" t="s">
        <v>356</v>
      </c>
      <c r="B1" t="s">
        <v>357</v>
      </c>
      <c r="C1" t="s">
        <v>358</v>
      </c>
      <c r="D1" t="s">
        <v>359</v>
      </c>
      <c r="E1" t="s">
        <v>360</v>
      </c>
      <c r="F1" t="s">
        <v>361</v>
      </c>
      <c r="G1" t="s">
        <v>362</v>
      </c>
      <c r="H1" t="s">
        <v>363</v>
      </c>
      <c r="I1" t="s">
        <v>364</v>
      </c>
      <c r="J1" s="31" t="s">
        <v>365</v>
      </c>
      <c r="K1" s="31" t="s">
        <v>366</v>
      </c>
      <c r="L1" t="s">
        <v>367</v>
      </c>
      <c r="M1" t="s">
        <v>368</v>
      </c>
      <c r="N1" s="31" t="s">
        <v>369</v>
      </c>
      <c r="O1" t="s">
        <v>370</v>
      </c>
      <c r="P1" t="s">
        <v>371</v>
      </c>
      <c r="Q1" t="s">
        <v>372</v>
      </c>
      <c r="R1" t="s">
        <v>373</v>
      </c>
      <c r="S1" s="45" t="s">
        <v>374</v>
      </c>
      <c r="T1" s="44" t="s">
        <v>375</v>
      </c>
      <c r="U1" t="s">
        <v>376</v>
      </c>
      <c r="V1" t="s">
        <v>377</v>
      </c>
      <c r="W1" t="s">
        <v>378</v>
      </c>
    </row>
    <row r="2" customHeight="1" spans="1:23">
      <c r="A2">
        <v>1</v>
      </c>
      <c r="B2" t="s">
        <v>379</v>
      </c>
      <c r="C2" t="s">
        <v>380</v>
      </c>
      <c r="D2" t="s">
        <v>381</v>
      </c>
      <c r="E2" t="s">
        <v>382</v>
      </c>
      <c r="F2" t="s">
        <v>383</v>
      </c>
      <c r="G2" t="s">
        <v>384</v>
      </c>
      <c r="H2" t="s">
        <v>385</v>
      </c>
      <c r="I2" t="s">
        <v>386</v>
      </c>
      <c r="J2" s="31" t="s">
        <v>387</v>
      </c>
      <c r="K2" s="31" t="s">
        <v>387</v>
      </c>
      <c r="L2" t="s">
        <v>388</v>
      </c>
      <c r="M2" t="s">
        <v>389</v>
      </c>
      <c r="N2" s="31" t="e">
        <f>_xlfn.XLOOKUP(K2,资产表!C:C,资产表!AG:AG,“”)</f>
        <v>#NAME?</v>
      </c>
      <c r="O2" t="s">
        <v>390</v>
      </c>
      <c r="P2" t="s">
        <v>391</v>
      </c>
      <c r="Q2" t="s">
        <v>389</v>
      </c>
      <c r="R2" t="s">
        <v>392</v>
      </c>
      <c r="S2" s="44">
        <v>45513.0042476852</v>
      </c>
      <c r="T2" s="44">
        <v>46004.017974537</v>
      </c>
      <c r="U2" t="s">
        <v>393</v>
      </c>
      <c r="V2" t="s">
        <v>394</v>
      </c>
      <c r="W2" t="s">
        <v>395</v>
      </c>
    </row>
    <row r="3" customHeight="1" spans="1:23">
      <c r="A3">
        <v>2</v>
      </c>
      <c r="B3" t="s">
        <v>379</v>
      </c>
      <c r="C3" t="s">
        <v>380</v>
      </c>
      <c r="D3" t="s">
        <v>381</v>
      </c>
      <c r="E3" t="s">
        <v>382</v>
      </c>
      <c r="F3" t="s">
        <v>383</v>
      </c>
      <c r="G3" t="s">
        <v>384</v>
      </c>
      <c r="H3" t="s">
        <v>396</v>
      </c>
      <c r="I3" t="s">
        <v>386</v>
      </c>
      <c r="J3" s="31" t="s">
        <v>397</v>
      </c>
      <c r="K3" s="31" t="s">
        <v>397</v>
      </c>
      <c r="L3" t="s">
        <v>388</v>
      </c>
      <c r="M3" t="s">
        <v>389</v>
      </c>
      <c r="N3" s="31" t="e">
        <f>_xlfn.XLOOKUP(K3,资产表!C:C,资产表!AG:AG,“”)</f>
        <v>#NAME?</v>
      </c>
      <c r="O3" t="s">
        <v>390</v>
      </c>
      <c r="P3" t="s">
        <v>391</v>
      </c>
      <c r="Q3" t="s">
        <v>389</v>
      </c>
      <c r="R3" t="s">
        <v>392</v>
      </c>
      <c r="S3" s="44">
        <v>45513.0042476852</v>
      </c>
      <c r="T3" s="44">
        <v>46004.0191435185</v>
      </c>
      <c r="U3" t="s">
        <v>393</v>
      </c>
      <c r="V3" t="s">
        <v>394</v>
      </c>
      <c r="W3" t="s">
        <v>395</v>
      </c>
    </row>
    <row r="4" customHeight="1" spans="1:23">
      <c r="A4">
        <v>3</v>
      </c>
      <c r="B4" t="s">
        <v>398</v>
      </c>
      <c r="C4" t="s">
        <v>399</v>
      </c>
      <c r="D4" t="s">
        <v>381</v>
      </c>
      <c r="E4" t="s">
        <v>400</v>
      </c>
      <c r="F4" t="s">
        <v>383</v>
      </c>
      <c r="G4" t="s">
        <v>384</v>
      </c>
      <c r="H4" t="s">
        <v>401</v>
      </c>
      <c r="I4" t="s">
        <v>386</v>
      </c>
      <c r="J4" s="31" t="s">
        <v>402</v>
      </c>
      <c r="K4" s="31" t="s">
        <v>402</v>
      </c>
      <c r="L4" t="s">
        <v>403</v>
      </c>
      <c r="M4" t="s">
        <v>389</v>
      </c>
      <c r="N4" s="31" t="e">
        <f>_xlfn.XLOOKUP(K4,资产表!C:C,资产表!AG:AG,“”)</f>
        <v>#NAME?</v>
      </c>
      <c r="O4" t="s">
        <v>404</v>
      </c>
      <c r="P4" t="s">
        <v>391</v>
      </c>
      <c r="Q4" t="s">
        <v>389</v>
      </c>
      <c r="R4" t="s">
        <v>392</v>
      </c>
      <c r="S4" s="44">
        <v>45513.0050578704</v>
      </c>
      <c r="T4" s="44">
        <v>46004.018587963</v>
      </c>
      <c r="U4" t="s">
        <v>405</v>
      </c>
      <c r="V4" t="s">
        <v>406</v>
      </c>
      <c r="W4" t="s">
        <v>407</v>
      </c>
    </row>
    <row r="5" customHeight="1" spans="1:23">
      <c r="A5">
        <v>4</v>
      </c>
      <c r="B5" t="s">
        <v>398</v>
      </c>
      <c r="C5" t="s">
        <v>399</v>
      </c>
      <c r="D5" t="s">
        <v>381</v>
      </c>
      <c r="E5" t="s">
        <v>400</v>
      </c>
      <c r="F5" t="s">
        <v>383</v>
      </c>
      <c r="G5" t="s">
        <v>384</v>
      </c>
      <c r="H5" t="s">
        <v>408</v>
      </c>
      <c r="I5" t="s">
        <v>386</v>
      </c>
      <c r="J5" s="31" t="s">
        <v>409</v>
      </c>
      <c r="K5" s="31" t="s">
        <v>409</v>
      </c>
      <c r="L5" t="s">
        <v>403</v>
      </c>
      <c r="M5" t="s">
        <v>389</v>
      </c>
      <c r="N5" s="31" t="e">
        <f>_xlfn.XLOOKUP(K5,资产表!C:C,资产表!AG:AG,“”)</f>
        <v>#NAME?</v>
      </c>
      <c r="O5" t="s">
        <v>404</v>
      </c>
      <c r="P5" t="s">
        <v>391</v>
      </c>
      <c r="Q5" t="s">
        <v>389</v>
      </c>
      <c r="R5" t="s">
        <v>392</v>
      </c>
      <c r="S5" s="44">
        <v>45513.0051736111</v>
      </c>
      <c r="T5" s="44">
        <v>46004.0177893518</v>
      </c>
      <c r="U5" t="s">
        <v>405</v>
      </c>
      <c r="V5" t="s">
        <v>406</v>
      </c>
      <c r="W5" t="s">
        <v>407</v>
      </c>
    </row>
    <row r="6" customHeight="1" spans="1:23">
      <c r="A6">
        <v>5</v>
      </c>
      <c r="B6" t="s">
        <v>410</v>
      </c>
      <c r="C6" t="s">
        <v>399</v>
      </c>
      <c r="D6" t="s">
        <v>381</v>
      </c>
      <c r="E6" t="s">
        <v>411</v>
      </c>
      <c r="F6" t="s">
        <v>383</v>
      </c>
      <c r="G6" t="s">
        <v>384</v>
      </c>
      <c r="H6" t="s">
        <v>412</v>
      </c>
      <c r="I6" t="s">
        <v>386</v>
      </c>
      <c r="J6" s="31" t="s">
        <v>402</v>
      </c>
      <c r="K6" s="31" t="s">
        <v>402</v>
      </c>
      <c r="L6" t="s">
        <v>403</v>
      </c>
      <c r="M6" t="s">
        <v>389</v>
      </c>
      <c r="N6" s="31" t="e">
        <f>_xlfn.XLOOKUP(K6,资产表!C:C,资产表!AG:AG,“”)</f>
        <v>#NAME?</v>
      </c>
      <c r="O6" t="s">
        <v>390</v>
      </c>
      <c r="P6" t="s">
        <v>391</v>
      </c>
      <c r="Q6" t="s">
        <v>389</v>
      </c>
      <c r="R6" t="s">
        <v>392</v>
      </c>
      <c r="S6" s="44">
        <v>45513.0049305556</v>
      </c>
      <c r="T6" s="44">
        <v>46004.018587963</v>
      </c>
      <c r="U6" t="s">
        <v>413</v>
      </c>
      <c r="V6" t="s">
        <v>414</v>
      </c>
      <c r="W6" t="s">
        <v>415</v>
      </c>
    </row>
    <row r="7" customHeight="1" spans="1:23">
      <c r="A7">
        <v>6</v>
      </c>
      <c r="B7" t="s">
        <v>410</v>
      </c>
      <c r="C7" t="s">
        <v>399</v>
      </c>
      <c r="D7" t="s">
        <v>381</v>
      </c>
      <c r="E7" t="s">
        <v>411</v>
      </c>
      <c r="F7" t="s">
        <v>383</v>
      </c>
      <c r="G7" t="s">
        <v>384</v>
      </c>
      <c r="H7" t="s">
        <v>416</v>
      </c>
      <c r="I7" t="s">
        <v>386</v>
      </c>
      <c r="J7" s="31" t="s">
        <v>417</v>
      </c>
      <c r="K7" s="31" t="s">
        <v>417</v>
      </c>
      <c r="L7" t="s">
        <v>403</v>
      </c>
      <c r="M7" t="s">
        <v>389</v>
      </c>
      <c r="N7" s="31" t="e">
        <f>_xlfn.XLOOKUP(K7,资产表!C:C,资产表!AG:AG,“”)</f>
        <v>#NAME?</v>
      </c>
      <c r="O7" t="s">
        <v>390</v>
      </c>
      <c r="P7" t="s">
        <v>391</v>
      </c>
      <c r="Q7" t="s">
        <v>389</v>
      </c>
      <c r="R7" t="s">
        <v>392</v>
      </c>
      <c r="S7" s="44">
        <v>45513.0050578704</v>
      </c>
      <c r="T7" s="44">
        <v>46004.0186226852</v>
      </c>
      <c r="U7" t="s">
        <v>413</v>
      </c>
      <c r="V7" t="s">
        <v>414</v>
      </c>
      <c r="W7" t="s">
        <v>415</v>
      </c>
    </row>
    <row r="8" customHeight="1" spans="1:23">
      <c r="A8">
        <v>7</v>
      </c>
      <c r="B8" t="s">
        <v>418</v>
      </c>
      <c r="C8" t="s">
        <v>399</v>
      </c>
      <c r="D8" t="s">
        <v>381</v>
      </c>
      <c r="E8" t="s">
        <v>411</v>
      </c>
      <c r="F8" t="s">
        <v>383</v>
      </c>
      <c r="G8" t="s">
        <v>384</v>
      </c>
      <c r="H8" t="s">
        <v>419</v>
      </c>
      <c r="I8" t="s">
        <v>386</v>
      </c>
      <c r="J8" s="31" t="s">
        <v>409</v>
      </c>
      <c r="K8" s="31" t="s">
        <v>409</v>
      </c>
      <c r="L8" t="s">
        <v>403</v>
      </c>
      <c r="M8" t="s">
        <v>389</v>
      </c>
      <c r="N8" s="31" t="e">
        <f>_xlfn.XLOOKUP(K8,资产表!C:C,资产表!AG:AG,“”)</f>
        <v>#NAME?</v>
      </c>
      <c r="O8" t="s">
        <v>390</v>
      </c>
      <c r="P8" t="s">
        <v>391</v>
      </c>
      <c r="Q8" t="s">
        <v>389</v>
      </c>
      <c r="R8" t="s">
        <v>392</v>
      </c>
      <c r="S8" s="44">
        <v>45513.0051736111</v>
      </c>
      <c r="T8" s="44">
        <v>46004.0177893518</v>
      </c>
      <c r="U8" t="s">
        <v>420</v>
      </c>
      <c r="V8" t="s">
        <v>421</v>
      </c>
      <c r="W8" t="s">
        <v>422</v>
      </c>
    </row>
    <row r="9" customHeight="1" spans="1:23">
      <c r="A9">
        <v>8</v>
      </c>
      <c r="B9" t="s">
        <v>410</v>
      </c>
      <c r="C9" t="s">
        <v>399</v>
      </c>
      <c r="D9" t="s">
        <v>381</v>
      </c>
      <c r="E9" t="s">
        <v>411</v>
      </c>
      <c r="F9" t="s">
        <v>383</v>
      </c>
      <c r="G9" t="s">
        <v>384</v>
      </c>
      <c r="H9" t="s">
        <v>423</v>
      </c>
      <c r="I9" t="s">
        <v>386</v>
      </c>
      <c r="J9" s="31" t="s">
        <v>409</v>
      </c>
      <c r="K9" s="31" t="s">
        <v>409</v>
      </c>
      <c r="L9" t="s">
        <v>403</v>
      </c>
      <c r="M9" t="s">
        <v>389</v>
      </c>
      <c r="N9" s="31" t="e">
        <f>_xlfn.XLOOKUP(K9,资产表!C:C,资产表!AG:AG,“”)</f>
        <v>#NAME?</v>
      </c>
      <c r="O9" t="s">
        <v>390</v>
      </c>
      <c r="P9" t="s">
        <v>391</v>
      </c>
      <c r="Q9" t="s">
        <v>389</v>
      </c>
      <c r="R9" t="s">
        <v>392</v>
      </c>
      <c r="S9" s="44">
        <v>45513.0061574074</v>
      </c>
      <c r="T9" s="44">
        <v>46004.0177893518</v>
      </c>
      <c r="U9" t="s">
        <v>413</v>
      </c>
      <c r="V9" t="s">
        <v>414</v>
      </c>
      <c r="W9" t="s">
        <v>415</v>
      </c>
    </row>
  </sheetData>
  <autoFilter ref="A1:W9">
    <extLst/>
  </autoFilter>
  <conditionalFormatting sqref="O1:O9">
    <cfRule type="expression" dxfId="0" priority="1">
      <formula>O1="急需修复"</formula>
    </cfRule>
    <cfRule type="expression" dxfId="1" priority="5">
      <formula>ISNUMBER(FIND("建议修复",O1))</formula>
    </cfRule>
  </conditionalFormatting>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0"/>
  <sheetViews>
    <sheetView workbookViewId="0">
      <selection activeCell="F22" sqref="F22"/>
    </sheetView>
  </sheetViews>
  <sheetFormatPr defaultColWidth="8.89814814814815" defaultRowHeight="14.4"/>
  <cols>
    <col min="2" max="2" width="22.9166666666667" customWidth="1"/>
    <col min="3" max="3" width="14.9074074074074" customWidth="1"/>
    <col min="5" max="5" width="8.89814814814815" customWidth="1"/>
    <col min="6" max="6" width="8.89814814814815" style="31" customWidth="1"/>
    <col min="7" max="12" width="8.89814814814815" customWidth="1"/>
    <col min="16" max="20" width="8.89814814814815" customWidth="1"/>
    <col min="22" max="24" width="8.89814814814815" customWidth="1"/>
    <col min="26" max="26" width="16.4444444444444" customWidth="1"/>
    <col min="27" max="27" width="8.89814814814815" customWidth="1"/>
    <col min="29" max="32" width="8.89814814814815" customWidth="1"/>
    <col min="33" max="33" width="8.89814814814815" style="32" customWidth="1"/>
    <col min="34" max="34" width="19.712962962963" customWidth="1"/>
  </cols>
  <sheetData>
    <row r="1" s="29" customFormat="1" ht="24" spans="1:36">
      <c r="A1" s="33" t="s">
        <v>356</v>
      </c>
      <c r="B1" s="34" t="s">
        <v>424</v>
      </c>
      <c r="C1" s="34" t="s">
        <v>425</v>
      </c>
      <c r="D1" s="34" t="s">
        <v>426</v>
      </c>
      <c r="E1" s="34" t="s">
        <v>427</v>
      </c>
      <c r="F1" s="35" t="s">
        <v>428</v>
      </c>
      <c r="G1" s="33" t="s">
        <v>429</v>
      </c>
      <c r="H1" s="33" t="s">
        <v>430</v>
      </c>
      <c r="I1" s="33" t="s">
        <v>431</v>
      </c>
      <c r="J1" s="33" t="s">
        <v>432</v>
      </c>
      <c r="K1" s="33" t="s">
        <v>433</v>
      </c>
      <c r="L1" s="33" t="s">
        <v>434</v>
      </c>
      <c r="M1" s="33" t="s">
        <v>435</v>
      </c>
      <c r="N1" s="33" t="s">
        <v>436</v>
      </c>
      <c r="O1" s="33" t="s">
        <v>437</v>
      </c>
      <c r="P1" s="33" t="s">
        <v>438</v>
      </c>
      <c r="Q1" s="33" t="s">
        <v>439</v>
      </c>
      <c r="R1" s="33" t="s">
        <v>440</v>
      </c>
      <c r="S1" s="33" t="s">
        <v>441</v>
      </c>
      <c r="T1" s="33" t="s">
        <v>442</v>
      </c>
      <c r="U1" s="33" t="s">
        <v>443</v>
      </c>
      <c r="V1" s="33" t="s">
        <v>444</v>
      </c>
      <c r="W1" s="33" t="s">
        <v>445</v>
      </c>
      <c r="X1" s="33" t="s">
        <v>446</v>
      </c>
      <c r="Y1" s="33" t="s">
        <v>447</v>
      </c>
      <c r="Z1" s="33" t="s">
        <v>448</v>
      </c>
      <c r="AA1" s="33" t="s">
        <v>449</v>
      </c>
      <c r="AB1" s="33" t="s">
        <v>450</v>
      </c>
      <c r="AC1" s="33" t="s">
        <v>451</v>
      </c>
      <c r="AD1" s="33" t="s">
        <v>452</v>
      </c>
      <c r="AE1" s="33" t="s">
        <v>453</v>
      </c>
      <c r="AF1" s="33" t="s">
        <v>454</v>
      </c>
      <c r="AG1" s="41" t="s">
        <v>455</v>
      </c>
      <c r="AH1" s="33" t="s">
        <v>456</v>
      </c>
      <c r="AI1" s="42" t="s">
        <v>457</v>
      </c>
      <c r="AJ1" s="42" t="s">
        <v>458</v>
      </c>
    </row>
    <row r="2" s="30" customFormat="1" spans="1:36">
      <c r="A2" s="36">
        <v>1</v>
      </c>
      <c r="B2" s="37" t="s">
        <v>459</v>
      </c>
      <c r="C2" s="36"/>
      <c r="D2" s="36" t="s">
        <v>460</v>
      </c>
      <c r="E2" s="36" t="s">
        <v>461</v>
      </c>
      <c r="F2" s="38" t="s">
        <v>462</v>
      </c>
      <c r="G2" s="39"/>
      <c r="H2" s="39"/>
      <c r="I2" s="39"/>
      <c r="J2" s="39"/>
      <c r="K2" s="36" t="s">
        <v>463</v>
      </c>
      <c r="L2" s="39"/>
      <c r="M2" s="36" t="s">
        <v>464</v>
      </c>
      <c r="N2" s="36" t="s">
        <v>465</v>
      </c>
      <c r="O2" s="39"/>
      <c r="P2" s="36" t="s">
        <v>466</v>
      </c>
      <c r="Q2" s="39"/>
      <c r="R2" s="36" t="s">
        <v>467</v>
      </c>
      <c r="S2" s="39"/>
      <c r="T2" s="39"/>
      <c r="U2" s="39"/>
      <c r="V2" s="39"/>
      <c r="W2" s="36" t="s">
        <v>468</v>
      </c>
      <c r="X2" s="39"/>
      <c r="Y2" s="39"/>
      <c r="Z2" s="39"/>
      <c r="AA2" s="39"/>
      <c r="AB2" s="39"/>
      <c r="AC2" s="39"/>
      <c r="AD2" s="39"/>
      <c r="AE2" s="39"/>
      <c r="AF2" s="39"/>
      <c r="AG2" s="43" t="s">
        <v>469</v>
      </c>
      <c r="AH2" s="39"/>
      <c r="AI2" s="39"/>
      <c r="AJ2" s="39"/>
    </row>
    <row r="3" s="30" customFormat="1" spans="1:36">
      <c r="A3" s="36">
        <v>2</v>
      </c>
      <c r="B3" s="37" t="s">
        <v>470</v>
      </c>
      <c r="C3" s="36"/>
      <c r="D3" s="36" t="s">
        <v>460</v>
      </c>
      <c r="E3" s="36" t="s">
        <v>461</v>
      </c>
      <c r="F3" s="38" t="s">
        <v>471</v>
      </c>
      <c r="G3" s="40"/>
      <c r="H3" s="40"/>
      <c r="I3" s="40"/>
      <c r="J3" s="40"/>
      <c r="K3" s="36" t="s">
        <v>463</v>
      </c>
      <c r="L3" s="40"/>
      <c r="M3" s="36" t="s">
        <v>472</v>
      </c>
      <c r="N3" s="36" t="s">
        <v>473</v>
      </c>
      <c r="O3" s="36" t="s">
        <v>474</v>
      </c>
      <c r="P3" s="36" t="s">
        <v>475</v>
      </c>
      <c r="Q3" s="40"/>
      <c r="R3" s="40"/>
      <c r="S3" s="40"/>
      <c r="T3" s="40"/>
      <c r="U3" s="40"/>
      <c r="V3" s="40"/>
      <c r="W3" s="36" t="s">
        <v>476</v>
      </c>
      <c r="X3" s="40"/>
      <c r="Y3" s="40"/>
      <c r="Z3" s="40"/>
      <c r="AA3" s="40"/>
      <c r="AB3" s="40"/>
      <c r="AC3" s="40"/>
      <c r="AD3" s="40"/>
      <c r="AE3" s="40"/>
      <c r="AF3" s="40"/>
      <c r="AG3" s="43" t="s">
        <v>469</v>
      </c>
      <c r="AH3" s="40"/>
      <c r="AI3" s="40"/>
      <c r="AJ3" s="40"/>
    </row>
    <row r="4" s="30" customFormat="1" spans="1:36">
      <c r="A4" s="36">
        <v>3</v>
      </c>
      <c r="B4" s="37" t="s">
        <v>470</v>
      </c>
      <c r="C4" s="36"/>
      <c r="D4" s="36" t="s">
        <v>460</v>
      </c>
      <c r="E4" s="36" t="s">
        <v>461</v>
      </c>
      <c r="F4" s="38" t="s">
        <v>477</v>
      </c>
      <c r="G4" s="40"/>
      <c r="H4" s="40"/>
      <c r="I4" s="40"/>
      <c r="J4" s="40"/>
      <c r="K4" s="36" t="s">
        <v>463</v>
      </c>
      <c r="L4" s="40"/>
      <c r="M4" s="36" t="s">
        <v>478</v>
      </c>
      <c r="N4" s="36" t="s">
        <v>465</v>
      </c>
      <c r="O4" s="40"/>
      <c r="P4" s="40"/>
      <c r="Q4" s="40"/>
      <c r="R4" s="40"/>
      <c r="S4" s="40"/>
      <c r="T4" s="40"/>
      <c r="U4" s="40"/>
      <c r="V4" s="40"/>
      <c r="W4" s="40"/>
      <c r="X4" s="40"/>
      <c r="Y4" s="40"/>
      <c r="Z4" s="40"/>
      <c r="AA4" s="40"/>
      <c r="AB4" s="40"/>
      <c r="AC4" s="40"/>
      <c r="AD4" s="40"/>
      <c r="AE4" s="40"/>
      <c r="AF4" s="40"/>
      <c r="AG4" s="43" t="s">
        <v>469</v>
      </c>
      <c r="AH4" s="40"/>
      <c r="AI4" s="40"/>
      <c r="AJ4" s="40"/>
    </row>
    <row r="5" s="30" customFormat="1" spans="1:36">
      <c r="A5" s="36">
        <v>4</v>
      </c>
      <c r="B5" s="37" t="s">
        <v>479</v>
      </c>
      <c r="C5" s="36"/>
      <c r="D5" s="36" t="s">
        <v>460</v>
      </c>
      <c r="E5" s="36" t="s">
        <v>461</v>
      </c>
      <c r="F5" s="38" t="s">
        <v>471</v>
      </c>
      <c r="G5" s="40"/>
      <c r="H5" s="40"/>
      <c r="I5" s="40"/>
      <c r="J5" s="40"/>
      <c r="K5" s="36" t="s">
        <v>463</v>
      </c>
      <c r="L5" s="40"/>
      <c r="M5" s="36" t="s">
        <v>480</v>
      </c>
      <c r="N5" s="36" t="s">
        <v>465</v>
      </c>
      <c r="O5" s="40"/>
      <c r="P5" s="36" t="s">
        <v>481</v>
      </c>
      <c r="Q5" s="40"/>
      <c r="R5" s="40"/>
      <c r="S5" s="40"/>
      <c r="T5" s="40"/>
      <c r="U5" s="40"/>
      <c r="V5" s="40"/>
      <c r="W5" s="36" t="s">
        <v>482</v>
      </c>
      <c r="X5" s="40"/>
      <c r="Y5" s="36" t="s">
        <v>483</v>
      </c>
      <c r="Z5" s="40"/>
      <c r="AA5" s="40"/>
      <c r="AB5" s="40"/>
      <c r="AC5" s="40"/>
      <c r="AD5" s="40"/>
      <c r="AE5" s="40"/>
      <c r="AF5" s="40"/>
      <c r="AG5" s="43" t="s">
        <v>469</v>
      </c>
      <c r="AH5" s="40"/>
      <c r="AI5" s="40"/>
      <c r="AJ5" s="40"/>
    </row>
    <row r="6" s="30" customFormat="1" spans="1:36">
      <c r="A6" s="36">
        <v>5</v>
      </c>
      <c r="B6" s="37" t="s">
        <v>479</v>
      </c>
      <c r="C6" s="36"/>
      <c r="D6" s="36" t="s">
        <v>460</v>
      </c>
      <c r="E6" s="36" t="s">
        <v>461</v>
      </c>
      <c r="F6" s="38" t="s">
        <v>477</v>
      </c>
      <c r="G6" s="40"/>
      <c r="H6" s="40"/>
      <c r="I6" s="40"/>
      <c r="J6" s="40"/>
      <c r="K6" s="36" t="s">
        <v>463</v>
      </c>
      <c r="L6" s="40"/>
      <c r="M6" s="40"/>
      <c r="N6" s="36" t="s">
        <v>484</v>
      </c>
      <c r="O6" s="40"/>
      <c r="P6" s="40"/>
      <c r="Q6" s="40"/>
      <c r="R6" s="40"/>
      <c r="S6" s="40"/>
      <c r="T6" s="40"/>
      <c r="U6" s="40"/>
      <c r="V6" s="40"/>
      <c r="W6" s="40"/>
      <c r="X6" s="40"/>
      <c r="Y6" s="40"/>
      <c r="Z6" s="40"/>
      <c r="AA6" s="40"/>
      <c r="AB6" s="40"/>
      <c r="AC6" s="40"/>
      <c r="AD6" s="40"/>
      <c r="AE6" s="40"/>
      <c r="AF6" s="40"/>
      <c r="AG6" s="43" t="s">
        <v>469</v>
      </c>
      <c r="AH6" s="40"/>
      <c r="AI6" s="40"/>
      <c r="AJ6" s="40"/>
    </row>
    <row r="7" s="30" customFormat="1" spans="1:36">
      <c r="A7" s="36">
        <v>6</v>
      </c>
      <c r="B7" s="37" t="s">
        <v>479</v>
      </c>
      <c r="C7" s="36"/>
      <c r="D7" s="36" t="s">
        <v>460</v>
      </c>
      <c r="E7" s="36" t="s">
        <v>461</v>
      </c>
      <c r="F7" s="38" t="s">
        <v>477</v>
      </c>
      <c r="G7" s="40"/>
      <c r="H7" s="40"/>
      <c r="I7" s="40"/>
      <c r="J7" s="40"/>
      <c r="K7" s="36" t="s">
        <v>463</v>
      </c>
      <c r="L7" s="40"/>
      <c r="M7" s="40"/>
      <c r="N7" s="36" t="s">
        <v>484</v>
      </c>
      <c r="O7" s="40"/>
      <c r="P7" s="40"/>
      <c r="Q7" s="40"/>
      <c r="R7" s="40"/>
      <c r="S7" s="40"/>
      <c r="T7" s="40"/>
      <c r="U7" s="40"/>
      <c r="V7" s="40"/>
      <c r="W7" s="40"/>
      <c r="X7" s="40"/>
      <c r="Y7" s="40"/>
      <c r="Z7" s="40"/>
      <c r="AA7" s="40"/>
      <c r="AB7" s="40"/>
      <c r="AC7" s="40"/>
      <c r="AD7" s="40"/>
      <c r="AE7" s="40"/>
      <c r="AF7" s="40"/>
      <c r="AG7" s="43" t="s">
        <v>469</v>
      </c>
      <c r="AH7" s="40"/>
      <c r="AI7" s="40"/>
      <c r="AJ7" s="40"/>
    </row>
    <row r="8" s="30" customFormat="1" spans="1:36">
      <c r="A8" s="36">
        <v>7</v>
      </c>
      <c r="B8" s="37" t="s">
        <v>485</v>
      </c>
      <c r="C8" s="36"/>
      <c r="D8" s="36" t="s">
        <v>460</v>
      </c>
      <c r="E8" s="36" t="s">
        <v>461</v>
      </c>
      <c r="F8" s="38" t="s">
        <v>477</v>
      </c>
      <c r="G8" s="40"/>
      <c r="H8" s="40"/>
      <c r="I8" s="40"/>
      <c r="J8" s="40"/>
      <c r="K8" s="36" t="s">
        <v>463</v>
      </c>
      <c r="L8" s="40"/>
      <c r="M8" s="40"/>
      <c r="N8" s="36" t="s">
        <v>484</v>
      </c>
      <c r="O8" s="40"/>
      <c r="P8" s="40"/>
      <c r="Q8" s="40"/>
      <c r="R8" s="40"/>
      <c r="S8" s="40"/>
      <c r="T8" s="40"/>
      <c r="U8" s="40"/>
      <c r="V8" s="40"/>
      <c r="W8" s="40"/>
      <c r="X8" s="40"/>
      <c r="Y8" s="40"/>
      <c r="Z8" s="40"/>
      <c r="AA8" s="40"/>
      <c r="AB8" s="40"/>
      <c r="AC8" s="40"/>
      <c r="AD8" s="40"/>
      <c r="AE8" s="40"/>
      <c r="AF8" s="40"/>
      <c r="AG8" s="43" t="s">
        <v>469</v>
      </c>
      <c r="AH8" s="40"/>
      <c r="AI8" s="40"/>
      <c r="AJ8" s="40"/>
    </row>
    <row r="9" s="30" customFormat="1" spans="1:36">
      <c r="A9" s="36">
        <v>8</v>
      </c>
      <c r="B9" s="37" t="s">
        <v>485</v>
      </c>
      <c r="C9" s="36"/>
      <c r="D9" s="36" t="s">
        <v>460</v>
      </c>
      <c r="E9" s="36" t="s">
        <v>461</v>
      </c>
      <c r="F9" s="38" t="s">
        <v>477</v>
      </c>
      <c r="G9" s="40"/>
      <c r="H9" s="40"/>
      <c r="I9" s="40"/>
      <c r="J9" s="40"/>
      <c r="K9" s="36" t="s">
        <v>463</v>
      </c>
      <c r="L9" s="40"/>
      <c r="M9" s="40"/>
      <c r="N9" s="36" t="s">
        <v>484</v>
      </c>
      <c r="O9" s="40"/>
      <c r="P9" s="40"/>
      <c r="Q9" s="40"/>
      <c r="R9" s="40"/>
      <c r="S9" s="40"/>
      <c r="T9" s="40"/>
      <c r="U9" s="40"/>
      <c r="V9" s="40"/>
      <c r="W9" s="40"/>
      <c r="X9" s="40"/>
      <c r="Y9" s="40"/>
      <c r="Z9" s="40"/>
      <c r="AA9" s="40"/>
      <c r="AB9" s="40"/>
      <c r="AC9" s="40"/>
      <c r="AD9" s="40"/>
      <c r="AE9" s="40"/>
      <c r="AF9" s="40"/>
      <c r="AG9" s="43" t="s">
        <v>469</v>
      </c>
      <c r="AH9" s="40"/>
      <c r="AI9" s="40"/>
      <c r="AJ9" s="40"/>
    </row>
    <row r="10" s="30" customFormat="1" spans="1:36">
      <c r="A10" s="36">
        <v>9</v>
      </c>
      <c r="B10" s="37" t="s">
        <v>485</v>
      </c>
      <c r="C10" s="36"/>
      <c r="D10" s="36" t="s">
        <v>460</v>
      </c>
      <c r="E10" s="36" t="s">
        <v>461</v>
      </c>
      <c r="F10" s="38" t="s">
        <v>477</v>
      </c>
      <c r="G10" s="40"/>
      <c r="H10" s="40"/>
      <c r="I10" s="40"/>
      <c r="J10" s="40"/>
      <c r="K10" s="36" t="s">
        <v>463</v>
      </c>
      <c r="L10" s="40"/>
      <c r="M10" s="36" t="s">
        <v>486</v>
      </c>
      <c r="N10" s="36" t="s">
        <v>473</v>
      </c>
      <c r="O10" s="40"/>
      <c r="P10" s="40"/>
      <c r="Q10" s="40"/>
      <c r="R10" s="40"/>
      <c r="S10" s="40"/>
      <c r="T10" s="40"/>
      <c r="U10" s="40"/>
      <c r="V10" s="40"/>
      <c r="W10" s="40"/>
      <c r="X10" s="40"/>
      <c r="Y10" s="40"/>
      <c r="Z10" s="40"/>
      <c r="AA10" s="40"/>
      <c r="AB10" s="40"/>
      <c r="AC10" s="40"/>
      <c r="AD10" s="40"/>
      <c r="AE10" s="40"/>
      <c r="AF10" s="40"/>
      <c r="AG10" s="43" t="s">
        <v>469</v>
      </c>
      <c r="AH10" s="40"/>
      <c r="AI10" s="40"/>
      <c r="AJ10" s="40"/>
    </row>
  </sheetData>
  <autoFilter ref="A1:AJ10">
    <extLst/>
  </autoFilter>
  <dataValidations count="6">
    <dataValidation showInputMessage="1" showErrorMessage="1" errorTitle="输入错误" error="请输入正确的资产标签 " sqref="L1"/>
    <dataValidation type="list" showInputMessage="1" showErrorMessage="1" sqref="D2:D10">
      <formula1>"核心,重要,一般"</formula1>
    </dataValidation>
    <dataValidation type="list" showInputMessage="1" showErrorMessage="1" sqref="E2:E10">
      <formula1>"服务内(7*24H),服务内(5*8H),服务外"</formula1>
    </dataValidation>
    <dataValidation type="list" showInputMessage="1" showErrorMessage="1" sqref="F2:F10">
      <formula1>"终端,服务器,网络设备,安全设备,物联网设备,防火墙,VPN,WAF,IDPS,蜜罐,扫描器,DNS,代理服务器,堡垒机"</formula1>
    </dataValidation>
    <dataValidation type="list" showInputMessage="1" showErrorMessage="1" sqref="K2:K10">
      <formula1>"在线,离线"</formula1>
    </dataValidation>
    <dataValidation type="list" showInputMessage="1" showErrorMessage="1" sqref="T2:T10">
      <formula1>"是,否"</formula1>
    </dataValidation>
  </dataValidations>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14"/>
  <sheetViews>
    <sheetView workbookViewId="0">
      <selection activeCell="B28" sqref="B28"/>
    </sheetView>
  </sheetViews>
  <sheetFormatPr defaultColWidth="8.89814814814815" defaultRowHeight="14.4"/>
  <cols>
    <col min="3" max="3" width="20.5092592592593" customWidth="1"/>
    <col min="4" max="4" width="21.2962962962963" customWidth="1"/>
    <col min="5" max="5" width="17" customWidth="1"/>
    <col min="12" max="12" width="17.6666666666667" style="4" customWidth="1"/>
    <col min="13" max="13" width="18.6666666666667" customWidth="1"/>
    <col min="26" max="26" width="18.6666666666667" customWidth="1"/>
    <col min="32" max="32" width="13.9351851851852" customWidth="1"/>
    <col min="33" max="33" width="16.3425925925926" style="23" customWidth="1"/>
    <col min="34" max="34" width="18.25" style="4"/>
    <col min="43" max="43" width="18.25" customWidth="1"/>
  </cols>
  <sheetData>
    <row r="1" s="1" customFormat="1" spans="1:47">
      <c r="A1" s="24" t="s">
        <v>487</v>
      </c>
      <c r="B1" s="24" t="s">
        <v>488</v>
      </c>
      <c r="C1" s="24" t="s">
        <v>489</v>
      </c>
      <c r="D1" s="24" t="s">
        <v>490</v>
      </c>
      <c r="E1" s="24" t="s">
        <v>491</v>
      </c>
      <c r="F1" s="24" t="s">
        <v>492</v>
      </c>
      <c r="G1" s="24" t="s">
        <v>493</v>
      </c>
      <c r="H1" s="24" t="s">
        <v>494</v>
      </c>
      <c r="I1" s="24" t="s">
        <v>495</v>
      </c>
      <c r="J1" s="24" t="s">
        <v>496</v>
      </c>
      <c r="K1" s="24" t="s">
        <v>497</v>
      </c>
      <c r="L1" s="24" t="s">
        <v>498</v>
      </c>
      <c r="M1" s="24" t="s">
        <v>499</v>
      </c>
      <c r="N1" s="24" t="s">
        <v>500</v>
      </c>
      <c r="O1" s="24" t="s">
        <v>501</v>
      </c>
      <c r="P1" s="24" t="s">
        <v>502</v>
      </c>
      <c r="Q1" s="24" t="s">
        <v>503</v>
      </c>
      <c r="R1" s="24" t="s">
        <v>504</v>
      </c>
      <c r="S1" s="24" t="s">
        <v>505</v>
      </c>
      <c r="T1" s="24" t="s">
        <v>506</v>
      </c>
      <c r="U1" s="24" t="s">
        <v>507</v>
      </c>
      <c r="V1" s="24" t="s">
        <v>508</v>
      </c>
      <c r="W1" s="24" t="s">
        <v>509</v>
      </c>
      <c r="X1" s="24" t="s">
        <v>510</v>
      </c>
      <c r="Y1" s="24" t="s">
        <v>511</v>
      </c>
      <c r="Z1" s="24" t="s">
        <v>512</v>
      </c>
      <c r="AA1" s="24" t="s">
        <v>513</v>
      </c>
      <c r="AB1" s="24" t="s">
        <v>514</v>
      </c>
      <c r="AC1" s="24" t="s">
        <v>515</v>
      </c>
      <c r="AD1" s="24" t="s">
        <v>516</v>
      </c>
      <c r="AE1" s="24" t="s">
        <v>517</v>
      </c>
      <c r="AF1" s="24" t="s">
        <v>518</v>
      </c>
      <c r="AG1" s="27" t="s">
        <v>519</v>
      </c>
      <c r="AH1" s="24" t="s">
        <v>520</v>
      </c>
      <c r="AI1" s="24" t="s">
        <v>521</v>
      </c>
      <c r="AJ1" s="24" t="s">
        <v>522</v>
      </c>
      <c r="AK1" s="24" t="s">
        <v>523</v>
      </c>
      <c r="AL1" s="24" t="s">
        <v>524</v>
      </c>
      <c r="AM1" s="24" t="s">
        <v>525</v>
      </c>
      <c r="AN1" s="24" t="s">
        <v>526</v>
      </c>
      <c r="AO1" s="24" t="s">
        <v>527</v>
      </c>
      <c r="AP1" s="24" t="s">
        <v>528</v>
      </c>
      <c r="AQ1" s="24" t="s">
        <v>529</v>
      </c>
      <c r="AR1" s="24" t="s">
        <v>530</v>
      </c>
      <c r="AS1" s="24" t="s">
        <v>531</v>
      </c>
      <c r="AT1" s="24" t="s">
        <v>532</v>
      </c>
      <c r="AU1" s="24" t="s">
        <v>533</v>
      </c>
    </row>
    <row r="2" s="1" customFormat="1" spans="1:47">
      <c r="A2" s="25" t="s">
        <v>534</v>
      </c>
      <c r="B2" s="25" t="s">
        <v>535</v>
      </c>
      <c r="C2" s="25"/>
      <c r="D2" s="25" t="s">
        <v>536</v>
      </c>
      <c r="E2" s="25" t="s">
        <v>537</v>
      </c>
      <c r="F2" s="25" t="s">
        <v>538</v>
      </c>
      <c r="G2" s="25" t="s">
        <v>539</v>
      </c>
      <c r="H2" s="25"/>
      <c r="I2" s="25" t="s">
        <v>540</v>
      </c>
      <c r="J2" s="25" t="s">
        <v>541</v>
      </c>
      <c r="K2" s="25" t="s">
        <v>542</v>
      </c>
      <c r="L2" s="26">
        <v>46098.7961921296</v>
      </c>
      <c r="M2" s="26">
        <v>46098.7961921296</v>
      </c>
      <c r="N2" s="25" t="s">
        <v>543</v>
      </c>
      <c r="O2" s="25"/>
      <c r="P2" s="25" t="s">
        <v>535</v>
      </c>
      <c r="Q2" s="25"/>
      <c r="R2" s="25"/>
      <c r="S2" s="25"/>
      <c r="T2" s="25"/>
      <c r="U2" s="25" t="s">
        <v>544</v>
      </c>
      <c r="V2" s="25" t="s">
        <v>545</v>
      </c>
      <c r="W2" s="25" t="s">
        <v>471</v>
      </c>
      <c r="X2" s="25" t="s">
        <v>546</v>
      </c>
      <c r="Y2" s="25" t="s">
        <v>547</v>
      </c>
      <c r="Z2" s="26">
        <v>46098.7965046296</v>
      </c>
      <c r="AA2" s="25"/>
      <c r="AB2" s="25" t="s">
        <v>548</v>
      </c>
      <c r="AC2" s="25"/>
      <c r="AD2" s="25" t="s">
        <v>549</v>
      </c>
      <c r="AE2" s="25" t="s">
        <v>550</v>
      </c>
      <c r="AF2" s="25"/>
      <c r="AG2" s="28" t="s">
        <v>551</v>
      </c>
      <c r="AH2" s="26">
        <v>46098.7965277778</v>
      </c>
      <c r="AI2" s="25"/>
      <c r="AJ2" s="25"/>
      <c r="AK2" s="25"/>
      <c r="AL2" s="25"/>
      <c r="AM2" s="25" t="s">
        <v>552</v>
      </c>
      <c r="AN2" s="25"/>
      <c r="AO2" s="25" t="s">
        <v>553</v>
      </c>
      <c r="AP2" s="25" t="s">
        <v>554</v>
      </c>
      <c r="AQ2" s="26">
        <v>46098.817337963</v>
      </c>
      <c r="AR2" s="25" t="s">
        <v>555</v>
      </c>
      <c r="AS2" s="25"/>
      <c r="AT2" s="25"/>
      <c r="AU2" s="25"/>
    </row>
    <row r="3" s="1" customFormat="1" spans="1:47">
      <c r="A3" s="25" t="s">
        <v>556</v>
      </c>
      <c r="B3" s="25" t="s">
        <v>557</v>
      </c>
      <c r="C3" s="25"/>
      <c r="D3" s="25" t="s">
        <v>558</v>
      </c>
      <c r="E3" s="25" t="s">
        <v>537</v>
      </c>
      <c r="F3" s="25" t="s">
        <v>559</v>
      </c>
      <c r="G3" s="25" t="s">
        <v>539</v>
      </c>
      <c r="H3" s="25"/>
      <c r="I3" s="25" t="s">
        <v>540</v>
      </c>
      <c r="J3" s="25" t="s">
        <v>560</v>
      </c>
      <c r="K3" s="25" t="s">
        <v>561</v>
      </c>
      <c r="L3" s="26">
        <v>46098.7220833333</v>
      </c>
      <c r="M3" s="26">
        <v>46098.7896412037</v>
      </c>
      <c r="N3" s="25" t="s">
        <v>562</v>
      </c>
      <c r="O3" s="25"/>
      <c r="P3" s="25" t="s">
        <v>557</v>
      </c>
      <c r="Q3" s="25"/>
      <c r="R3" s="25"/>
      <c r="S3" s="25"/>
      <c r="T3" s="25"/>
      <c r="U3" s="25" t="s">
        <v>563</v>
      </c>
      <c r="V3" s="25" t="s">
        <v>545</v>
      </c>
      <c r="W3" s="25" t="s">
        <v>471</v>
      </c>
      <c r="X3" s="25" t="s">
        <v>546</v>
      </c>
      <c r="Y3" s="25" t="s">
        <v>547</v>
      </c>
      <c r="Z3" s="26">
        <v>46098.7228240741</v>
      </c>
      <c r="AA3" s="25" t="s">
        <v>564</v>
      </c>
      <c r="AB3" s="25" t="s">
        <v>548</v>
      </c>
      <c r="AC3" s="25"/>
      <c r="AD3" s="25" t="s">
        <v>565</v>
      </c>
      <c r="AE3" s="25" t="s">
        <v>550</v>
      </c>
      <c r="AF3" s="25"/>
      <c r="AG3" s="28" t="s">
        <v>566</v>
      </c>
      <c r="AH3" s="26">
        <v>46098.7228356482</v>
      </c>
      <c r="AI3" s="25"/>
      <c r="AJ3" s="25"/>
      <c r="AK3" s="25" t="s">
        <v>567</v>
      </c>
      <c r="AL3" s="25" t="s">
        <v>568</v>
      </c>
      <c r="AM3" s="25" t="s">
        <v>552</v>
      </c>
      <c r="AN3" s="25" t="s">
        <v>569</v>
      </c>
      <c r="AO3" s="25" t="s">
        <v>553</v>
      </c>
      <c r="AP3" s="25" t="s">
        <v>554</v>
      </c>
      <c r="AQ3" s="26">
        <v>46098.7436574074</v>
      </c>
      <c r="AR3" s="25" t="s">
        <v>570</v>
      </c>
      <c r="AS3" s="25"/>
      <c r="AT3" s="25"/>
      <c r="AU3" s="25"/>
    </row>
    <row r="4" s="1" customFormat="1" spans="1:47">
      <c r="A4" s="25" t="s">
        <v>571</v>
      </c>
      <c r="B4" s="25" t="s">
        <v>535</v>
      </c>
      <c r="C4" s="25"/>
      <c r="D4" s="25" t="s">
        <v>572</v>
      </c>
      <c r="E4" s="25" t="s">
        <v>537</v>
      </c>
      <c r="F4" s="25" t="s">
        <v>573</v>
      </c>
      <c r="G4" s="25" t="s">
        <v>539</v>
      </c>
      <c r="H4" s="25"/>
      <c r="I4" s="25" t="s">
        <v>540</v>
      </c>
      <c r="J4" s="25" t="s">
        <v>560</v>
      </c>
      <c r="K4" s="25" t="s">
        <v>574</v>
      </c>
      <c r="L4" s="26">
        <v>46097.9016319444</v>
      </c>
      <c r="M4" s="26">
        <v>46098.7896412037</v>
      </c>
      <c r="N4" s="25" t="s">
        <v>543</v>
      </c>
      <c r="O4" s="25"/>
      <c r="P4" s="25" t="s">
        <v>535</v>
      </c>
      <c r="Q4" s="25"/>
      <c r="R4" s="25"/>
      <c r="S4" s="25"/>
      <c r="T4" s="25"/>
      <c r="U4" s="25" t="s">
        <v>575</v>
      </c>
      <c r="V4" s="25" t="s">
        <v>545</v>
      </c>
      <c r="W4" s="25" t="s">
        <v>471</v>
      </c>
      <c r="X4" s="25" t="s">
        <v>546</v>
      </c>
      <c r="Y4" s="25" t="s">
        <v>547</v>
      </c>
      <c r="Z4" s="26">
        <v>46097.9024074074</v>
      </c>
      <c r="AA4" s="25" t="s">
        <v>564</v>
      </c>
      <c r="AB4" s="25" t="s">
        <v>548</v>
      </c>
      <c r="AC4" s="25"/>
      <c r="AD4" s="25" t="s">
        <v>565</v>
      </c>
      <c r="AE4" s="25" t="s">
        <v>550</v>
      </c>
      <c r="AF4" s="25"/>
      <c r="AG4" s="28" t="s">
        <v>566</v>
      </c>
      <c r="AH4" s="26">
        <v>46097.9024189815</v>
      </c>
      <c r="AI4" s="25"/>
      <c r="AJ4" s="25"/>
      <c r="AK4" s="25"/>
      <c r="AL4" s="25"/>
      <c r="AM4" s="25" t="s">
        <v>552</v>
      </c>
      <c r="AN4" s="25" t="s">
        <v>576</v>
      </c>
      <c r="AO4" s="25" t="s">
        <v>553</v>
      </c>
      <c r="AP4" s="25" t="s">
        <v>554</v>
      </c>
      <c r="AQ4" s="26">
        <v>46097.9232407407</v>
      </c>
      <c r="AR4" s="25" t="s">
        <v>570</v>
      </c>
      <c r="AS4" s="25"/>
      <c r="AT4" s="25"/>
      <c r="AU4" s="25"/>
    </row>
    <row r="5" s="1" customFormat="1" spans="1:47">
      <c r="A5" s="25" t="s">
        <v>534</v>
      </c>
      <c r="B5" s="25" t="s">
        <v>535</v>
      </c>
      <c r="C5" s="25"/>
      <c r="D5" s="25" t="s">
        <v>536</v>
      </c>
      <c r="E5" s="25" t="s">
        <v>537</v>
      </c>
      <c r="F5" s="25" t="s">
        <v>577</v>
      </c>
      <c r="G5" s="25" t="s">
        <v>539</v>
      </c>
      <c r="H5" s="25"/>
      <c r="I5" s="25" t="s">
        <v>578</v>
      </c>
      <c r="J5" s="25" t="s">
        <v>579</v>
      </c>
      <c r="K5" s="25" t="s">
        <v>542</v>
      </c>
      <c r="L5" s="26">
        <v>46098.7179166667</v>
      </c>
      <c r="M5" s="26">
        <v>46098.7240046296</v>
      </c>
      <c r="N5" s="25" t="s">
        <v>580</v>
      </c>
      <c r="O5" s="25"/>
      <c r="P5" s="25" t="s">
        <v>535</v>
      </c>
      <c r="Q5" s="25"/>
      <c r="R5" s="25"/>
      <c r="S5" s="25"/>
      <c r="T5" s="25"/>
      <c r="U5" s="25" t="s">
        <v>544</v>
      </c>
      <c r="V5" s="25" t="s">
        <v>545</v>
      </c>
      <c r="W5" s="25" t="s">
        <v>471</v>
      </c>
      <c r="X5" s="25" t="s">
        <v>546</v>
      </c>
      <c r="Y5" s="25" t="s">
        <v>547</v>
      </c>
      <c r="Z5" s="26">
        <v>46098.7182060185</v>
      </c>
      <c r="AA5" s="25"/>
      <c r="AB5" s="25" t="s">
        <v>548</v>
      </c>
      <c r="AC5" s="25"/>
      <c r="AD5" s="25" t="s">
        <v>549</v>
      </c>
      <c r="AE5" s="25" t="s">
        <v>550</v>
      </c>
      <c r="AF5" s="25"/>
      <c r="AG5" s="28" t="s">
        <v>581</v>
      </c>
      <c r="AH5" s="26">
        <v>46098.7182407407</v>
      </c>
      <c r="AI5" s="25"/>
      <c r="AJ5" s="25"/>
      <c r="AK5" s="25"/>
      <c r="AL5" s="25"/>
      <c r="AM5" s="25" t="s">
        <v>552</v>
      </c>
      <c r="AN5" s="25"/>
      <c r="AO5" s="25" t="s">
        <v>553</v>
      </c>
      <c r="AP5" s="25" t="s">
        <v>554</v>
      </c>
      <c r="AQ5" s="26">
        <v>46098.7390393519</v>
      </c>
      <c r="AR5" s="25" t="s">
        <v>555</v>
      </c>
      <c r="AS5" s="25"/>
      <c r="AT5" s="25"/>
      <c r="AU5" s="25"/>
    </row>
    <row r="6" s="1" customFormat="1" spans="1:47">
      <c r="A6" s="25" t="s">
        <v>582</v>
      </c>
      <c r="B6" s="25" t="s">
        <v>557</v>
      </c>
      <c r="C6" s="25"/>
      <c r="D6" s="25" t="s">
        <v>583</v>
      </c>
      <c r="E6" s="25" t="s">
        <v>537</v>
      </c>
      <c r="F6" s="25" t="s">
        <v>584</v>
      </c>
      <c r="G6" s="25" t="s">
        <v>539</v>
      </c>
      <c r="H6" s="25"/>
      <c r="I6" s="25" t="s">
        <v>585</v>
      </c>
      <c r="J6" s="25" t="s">
        <v>586</v>
      </c>
      <c r="K6" s="25" t="s">
        <v>587</v>
      </c>
      <c r="L6" s="26">
        <v>46048.60875</v>
      </c>
      <c r="M6" s="26">
        <v>46098.7223032407</v>
      </c>
      <c r="N6" s="25"/>
      <c r="O6" s="25"/>
      <c r="P6" s="25" t="s">
        <v>588</v>
      </c>
      <c r="Q6" s="25"/>
      <c r="R6" s="25"/>
      <c r="S6" s="25"/>
      <c r="T6" s="25" t="s">
        <v>589</v>
      </c>
      <c r="U6" s="25" t="s">
        <v>590</v>
      </c>
      <c r="V6" s="25" t="s">
        <v>461</v>
      </c>
      <c r="W6" s="25" t="s">
        <v>477</v>
      </c>
      <c r="X6" s="25" t="s">
        <v>591</v>
      </c>
      <c r="Y6" s="25" t="s">
        <v>547</v>
      </c>
      <c r="Z6" s="26">
        <v>46097.658912037</v>
      </c>
      <c r="AA6" s="25" t="s">
        <v>564</v>
      </c>
      <c r="AB6" s="25" t="s">
        <v>548</v>
      </c>
      <c r="AC6" s="25"/>
      <c r="AD6" s="25" t="s">
        <v>592</v>
      </c>
      <c r="AE6" s="25" t="s">
        <v>593</v>
      </c>
      <c r="AF6" s="25"/>
      <c r="AG6" s="28" t="s">
        <v>594</v>
      </c>
      <c r="AH6" s="26">
        <v>46097.6589699074</v>
      </c>
      <c r="AI6" s="25"/>
      <c r="AJ6" s="25"/>
      <c r="AK6" s="25" t="s">
        <v>595</v>
      </c>
      <c r="AL6" s="25" t="s">
        <v>596</v>
      </c>
      <c r="AM6" s="25" t="s">
        <v>597</v>
      </c>
      <c r="AN6" s="25" t="s">
        <v>598</v>
      </c>
      <c r="AO6" s="25"/>
      <c r="AP6" s="25" t="s">
        <v>554</v>
      </c>
      <c r="AQ6" s="26">
        <v>46097.6797453704</v>
      </c>
      <c r="AR6" s="25" t="s">
        <v>555</v>
      </c>
      <c r="AS6" s="25"/>
      <c r="AT6" s="25"/>
      <c r="AU6" s="25"/>
    </row>
    <row r="7" s="1" customFormat="1" spans="1:47">
      <c r="A7" s="25" t="s">
        <v>556</v>
      </c>
      <c r="B7" s="25" t="s">
        <v>557</v>
      </c>
      <c r="C7" s="25"/>
      <c r="D7" s="25" t="s">
        <v>558</v>
      </c>
      <c r="E7" s="25" t="s">
        <v>537</v>
      </c>
      <c r="F7" s="25" t="s">
        <v>599</v>
      </c>
      <c r="G7" s="25" t="s">
        <v>539</v>
      </c>
      <c r="H7" s="25"/>
      <c r="I7" s="25" t="s">
        <v>540</v>
      </c>
      <c r="J7" s="25" t="s">
        <v>560</v>
      </c>
      <c r="K7" s="25" t="s">
        <v>561</v>
      </c>
      <c r="L7" s="26">
        <v>46097.7154282407</v>
      </c>
      <c r="M7" s="26">
        <v>46098.7096064815</v>
      </c>
      <c r="N7" s="25" t="s">
        <v>580</v>
      </c>
      <c r="O7" s="25"/>
      <c r="P7" s="25" t="s">
        <v>557</v>
      </c>
      <c r="Q7" s="25"/>
      <c r="R7" s="25"/>
      <c r="S7" s="25"/>
      <c r="T7" s="25"/>
      <c r="U7" s="25" t="s">
        <v>563</v>
      </c>
      <c r="V7" s="25" t="s">
        <v>545</v>
      </c>
      <c r="W7" s="25" t="s">
        <v>471</v>
      </c>
      <c r="X7" s="25" t="s">
        <v>546</v>
      </c>
      <c r="Y7" s="25" t="s">
        <v>547</v>
      </c>
      <c r="Z7" s="26">
        <v>46097.7163078704</v>
      </c>
      <c r="AA7" s="25" t="s">
        <v>564</v>
      </c>
      <c r="AB7" s="25" t="s">
        <v>548</v>
      </c>
      <c r="AC7" s="25"/>
      <c r="AD7" s="25" t="s">
        <v>565</v>
      </c>
      <c r="AE7" s="25" t="s">
        <v>550</v>
      </c>
      <c r="AF7" s="25"/>
      <c r="AG7" s="28" t="s">
        <v>551</v>
      </c>
      <c r="AH7" s="26">
        <v>46097.7163310185</v>
      </c>
      <c r="AI7" s="25"/>
      <c r="AJ7" s="25"/>
      <c r="AK7" s="25" t="s">
        <v>600</v>
      </c>
      <c r="AL7" s="25" t="s">
        <v>568</v>
      </c>
      <c r="AM7" s="25" t="s">
        <v>552</v>
      </c>
      <c r="AN7" s="25" t="s">
        <v>569</v>
      </c>
      <c r="AO7" s="25" t="s">
        <v>553</v>
      </c>
      <c r="AP7" s="25" t="s">
        <v>554</v>
      </c>
      <c r="AQ7" s="26">
        <v>46097.7371412037</v>
      </c>
      <c r="AR7" s="25" t="s">
        <v>570</v>
      </c>
      <c r="AS7" s="25"/>
      <c r="AT7" s="25"/>
      <c r="AU7" s="25"/>
    </row>
    <row r="8" s="1" customFormat="1" spans="1:47">
      <c r="A8" s="25" t="s">
        <v>571</v>
      </c>
      <c r="B8" s="25" t="s">
        <v>535</v>
      </c>
      <c r="C8" s="25"/>
      <c r="D8" s="25" t="s">
        <v>572</v>
      </c>
      <c r="E8" s="25" t="s">
        <v>537</v>
      </c>
      <c r="F8" s="25" t="s">
        <v>601</v>
      </c>
      <c r="G8" s="25" t="s">
        <v>539</v>
      </c>
      <c r="H8" s="25"/>
      <c r="I8" s="25" t="s">
        <v>540</v>
      </c>
      <c r="J8" s="25" t="s">
        <v>560</v>
      </c>
      <c r="K8" s="25" t="s">
        <v>574</v>
      </c>
      <c r="L8" s="26">
        <v>46098.3834490741</v>
      </c>
      <c r="M8" s="26">
        <v>46098.7048611111</v>
      </c>
      <c r="N8" s="25" t="s">
        <v>602</v>
      </c>
      <c r="O8" s="25"/>
      <c r="P8" s="25" t="s">
        <v>535</v>
      </c>
      <c r="Q8" s="25"/>
      <c r="R8" s="25"/>
      <c r="S8" s="25"/>
      <c r="T8" s="25"/>
      <c r="U8" s="25" t="s">
        <v>575</v>
      </c>
      <c r="V8" s="25" t="s">
        <v>545</v>
      </c>
      <c r="W8" s="25" t="s">
        <v>471</v>
      </c>
      <c r="X8" s="25" t="s">
        <v>546</v>
      </c>
      <c r="Y8" s="25" t="s">
        <v>547</v>
      </c>
      <c r="Z8" s="26">
        <v>46098.3842708333</v>
      </c>
      <c r="AA8" s="25" t="s">
        <v>564</v>
      </c>
      <c r="AB8" s="25" t="s">
        <v>548</v>
      </c>
      <c r="AC8" s="25"/>
      <c r="AD8" s="25" t="s">
        <v>565</v>
      </c>
      <c r="AE8" s="25" t="s">
        <v>550</v>
      </c>
      <c r="AF8" s="25"/>
      <c r="AG8" s="28" t="s">
        <v>551</v>
      </c>
      <c r="AH8" s="26">
        <v>46098.3842939815</v>
      </c>
      <c r="AI8" s="25"/>
      <c r="AJ8" s="25"/>
      <c r="AK8" s="25"/>
      <c r="AL8" s="25"/>
      <c r="AM8" s="25" t="s">
        <v>552</v>
      </c>
      <c r="AN8" s="25" t="s">
        <v>576</v>
      </c>
      <c r="AO8" s="25" t="s">
        <v>553</v>
      </c>
      <c r="AP8" s="25" t="s">
        <v>554</v>
      </c>
      <c r="AQ8" s="26">
        <v>46098.4051041667</v>
      </c>
      <c r="AR8" s="25" t="s">
        <v>570</v>
      </c>
      <c r="AS8" s="25"/>
      <c r="AT8" s="25"/>
      <c r="AU8" s="25"/>
    </row>
    <row r="9" s="1" customFormat="1" spans="1:47">
      <c r="A9" s="25" t="s">
        <v>571</v>
      </c>
      <c r="B9" s="25" t="s">
        <v>535</v>
      </c>
      <c r="C9" s="25"/>
      <c r="D9" s="25" t="s">
        <v>572</v>
      </c>
      <c r="E9" s="25" t="s">
        <v>537</v>
      </c>
      <c r="F9" s="25" t="s">
        <v>603</v>
      </c>
      <c r="G9" s="25" t="s">
        <v>539</v>
      </c>
      <c r="H9" s="25"/>
      <c r="I9" s="25" t="s">
        <v>540</v>
      </c>
      <c r="J9" s="25" t="s">
        <v>560</v>
      </c>
      <c r="K9" s="25" t="s">
        <v>574</v>
      </c>
      <c r="L9" s="26">
        <v>46098.7020023148</v>
      </c>
      <c r="M9" s="26">
        <v>46098.7020023148</v>
      </c>
      <c r="N9" s="25" t="s">
        <v>562</v>
      </c>
      <c r="O9" s="25"/>
      <c r="P9" s="25" t="s">
        <v>535</v>
      </c>
      <c r="Q9" s="25"/>
      <c r="R9" s="25"/>
      <c r="S9" s="25"/>
      <c r="T9" s="25"/>
      <c r="U9" s="25" t="s">
        <v>575</v>
      </c>
      <c r="V9" s="25" t="s">
        <v>545</v>
      </c>
      <c r="W9" s="25" t="s">
        <v>471</v>
      </c>
      <c r="X9" s="25" t="s">
        <v>546</v>
      </c>
      <c r="Y9" s="25" t="s">
        <v>547</v>
      </c>
      <c r="Z9" s="26">
        <v>46098.7027777778</v>
      </c>
      <c r="AA9" s="25" t="s">
        <v>564</v>
      </c>
      <c r="AB9" s="25" t="s">
        <v>548</v>
      </c>
      <c r="AC9" s="25"/>
      <c r="AD9" s="25" t="s">
        <v>565</v>
      </c>
      <c r="AE9" s="25" t="s">
        <v>550</v>
      </c>
      <c r="AF9" s="25"/>
      <c r="AG9" s="28" t="s">
        <v>581</v>
      </c>
      <c r="AH9" s="26">
        <v>46098.7028125</v>
      </c>
      <c r="AI9" s="25"/>
      <c r="AJ9" s="25"/>
      <c r="AK9" s="25"/>
      <c r="AL9" s="25"/>
      <c r="AM9" s="25" t="s">
        <v>552</v>
      </c>
      <c r="AN9" s="25" t="s">
        <v>576</v>
      </c>
      <c r="AO9" s="25" t="s">
        <v>553</v>
      </c>
      <c r="AP9" s="25" t="s">
        <v>554</v>
      </c>
      <c r="AQ9" s="26">
        <v>46098.7236111111</v>
      </c>
      <c r="AR9" s="25" t="s">
        <v>570</v>
      </c>
      <c r="AS9" s="25"/>
      <c r="AT9" s="25"/>
      <c r="AU9" s="25"/>
    </row>
    <row r="10" s="1" customFormat="1" spans="1:47">
      <c r="A10" s="25" t="s">
        <v>534</v>
      </c>
      <c r="B10" s="25" t="s">
        <v>535</v>
      </c>
      <c r="C10" s="25"/>
      <c r="D10" s="25" t="s">
        <v>536</v>
      </c>
      <c r="E10" s="25" t="s">
        <v>537</v>
      </c>
      <c r="F10" s="25" t="s">
        <v>604</v>
      </c>
      <c r="G10" s="25" t="s">
        <v>539</v>
      </c>
      <c r="H10" s="25"/>
      <c r="I10" s="25" t="s">
        <v>578</v>
      </c>
      <c r="J10" s="25" t="s">
        <v>579</v>
      </c>
      <c r="K10" s="25" t="s">
        <v>542</v>
      </c>
      <c r="L10" s="26">
        <v>46098.643599537</v>
      </c>
      <c r="M10" s="26">
        <v>46098.6731828704</v>
      </c>
      <c r="N10" s="25" t="s">
        <v>562</v>
      </c>
      <c r="O10" s="25"/>
      <c r="P10" s="25" t="s">
        <v>535</v>
      </c>
      <c r="Q10" s="25"/>
      <c r="R10" s="25"/>
      <c r="S10" s="25"/>
      <c r="T10" s="25"/>
      <c r="U10" s="25" t="s">
        <v>544</v>
      </c>
      <c r="V10" s="25" t="s">
        <v>545</v>
      </c>
      <c r="W10" s="25" t="s">
        <v>471</v>
      </c>
      <c r="X10" s="25" t="s">
        <v>546</v>
      </c>
      <c r="Y10" s="25" t="s">
        <v>547</v>
      </c>
      <c r="Z10" s="26">
        <v>46098.6438078704</v>
      </c>
      <c r="AA10" s="25"/>
      <c r="AB10" s="25" t="s">
        <v>548</v>
      </c>
      <c r="AC10" s="25"/>
      <c r="AD10" s="25" t="s">
        <v>549</v>
      </c>
      <c r="AE10" s="25" t="s">
        <v>550</v>
      </c>
      <c r="AF10" s="25"/>
      <c r="AG10" s="28" t="s">
        <v>605</v>
      </c>
      <c r="AH10" s="26">
        <v>46098.643900463</v>
      </c>
      <c r="AI10" s="25"/>
      <c r="AJ10" s="25"/>
      <c r="AK10" s="25"/>
      <c r="AL10" s="25"/>
      <c r="AM10" s="25" t="s">
        <v>552</v>
      </c>
      <c r="AN10" s="25"/>
      <c r="AO10" s="25" t="s">
        <v>553</v>
      </c>
      <c r="AP10" s="25" t="s">
        <v>554</v>
      </c>
      <c r="AQ10" s="26">
        <v>46098.6646412037</v>
      </c>
      <c r="AR10" s="25" t="s">
        <v>555</v>
      </c>
      <c r="AS10" s="25"/>
      <c r="AT10" s="25"/>
      <c r="AU10" s="25"/>
    </row>
    <row r="11" s="1" customFormat="1" spans="1:47">
      <c r="A11" s="25" t="s">
        <v>571</v>
      </c>
      <c r="B11" s="25" t="s">
        <v>535</v>
      </c>
      <c r="C11" s="25"/>
      <c r="D11" s="25" t="s">
        <v>572</v>
      </c>
      <c r="E11" s="25" t="s">
        <v>537</v>
      </c>
      <c r="F11" s="25" t="s">
        <v>606</v>
      </c>
      <c r="G11" s="25" t="s">
        <v>539</v>
      </c>
      <c r="H11" s="25"/>
      <c r="I11" s="25" t="s">
        <v>540</v>
      </c>
      <c r="J11" s="25" t="s">
        <v>560</v>
      </c>
      <c r="K11" s="25" t="s">
        <v>574</v>
      </c>
      <c r="L11" s="26">
        <v>46098.6703935185</v>
      </c>
      <c r="M11" s="26">
        <v>46098.6720949074</v>
      </c>
      <c r="N11" s="25" t="s">
        <v>580</v>
      </c>
      <c r="O11" s="25"/>
      <c r="P11" s="25" t="s">
        <v>535</v>
      </c>
      <c r="Q11" s="25"/>
      <c r="R11" s="25"/>
      <c r="S11" s="25"/>
      <c r="T11" s="25"/>
      <c r="U11" s="25" t="s">
        <v>575</v>
      </c>
      <c r="V11" s="25" t="s">
        <v>545</v>
      </c>
      <c r="W11" s="25" t="s">
        <v>471</v>
      </c>
      <c r="X11" s="25" t="s">
        <v>546</v>
      </c>
      <c r="Y11" s="25" t="s">
        <v>547</v>
      </c>
      <c r="Z11" s="26">
        <v>46098.6712615741</v>
      </c>
      <c r="AA11" s="25" t="s">
        <v>564</v>
      </c>
      <c r="AB11" s="25" t="s">
        <v>548</v>
      </c>
      <c r="AC11" s="25"/>
      <c r="AD11" s="25" t="s">
        <v>565</v>
      </c>
      <c r="AE11" s="25" t="s">
        <v>550</v>
      </c>
      <c r="AF11" s="25"/>
      <c r="AG11" s="28" t="s">
        <v>607</v>
      </c>
      <c r="AH11" s="26">
        <v>46098.6713773148</v>
      </c>
      <c r="AI11" s="25"/>
      <c r="AJ11" s="25"/>
      <c r="AK11" s="25"/>
      <c r="AL11" s="25"/>
      <c r="AM11" s="25" t="s">
        <v>552</v>
      </c>
      <c r="AN11" s="25" t="s">
        <v>576</v>
      </c>
      <c r="AO11" s="25" t="s">
        <v>553</v>
      </c>
      <c r="AP11" s="25" t="s">
        <v>554</v>
      </c>
      <c r="AQ11" s="26">
        <v>46098.6920949074</v>
      </c>
      <c r="AR11" s="25" t="s">
        <v>570</v>
      </c>
      <c r="AS11" s="25"/>
      <c r="AT11" s="25"/>
      <c r="AU11" s="25"/>
    </row>
    <row r="12" s="1" customFormat="1" spans="1:47">
      <c r="A12" s="25" t="s">
        <v>571</v>
      </c>
      <c r="B12" s="25" t="s">
        <v>535</v>
      </c>
      <c r="C12" s="25"/>
      <c r="D12" s="25" t="s">
        <v>572</v>
      </c>
      <c r="E12" s="25" t="s">
        <v>537</v>
      </c>
      <c r="F12" s="25" t="s">
        <v>608</v>
      </c>
      <c r="G12" s="25" t="s">
        <v>539</v>
      </c>
      <c r="H12" s="25"/>
      <c r="I12" s="25" t="s">
        <v>540</v>
      </c>
      <c r="J12" s="25" t="s">
        <v>560</v>
      </c>
      <c r="K12" s="25" t="s">
        <v>574</v>
      </c>
      <c r="L12" s="26">
        <v>46098.6687847222</v>
      </c>
      <c r="M12" s="26">
        <v>46098.6687847222</v>
      </c>
      <c r="N12" s="25" t="s">
        <v>580</v>
      </c>
      <c r="O12" s="25"/>
      <c r="P12" s="25" t="s">
        <v>535</v>
      </c>
      <c r="Q12" s="25"/>
      <c r="R12" s="25"/>
      <c r="S12" s="25"/>
      <c r="T12" s="25"/>
      <c r="U12" s="25" t="s">
        <v>575</v>
      </c>
      <c r="V12" s="25" t="s">
        <v>545</v>
      </c>
      <c r="W12" s="25" t="s">
        <v>471</v>
      </c>
      <c r="X12" s="25" t="s">
        <v>546</v>
      </c>
      <c r="Y12" s="25" t="s">
        <v>547</v>
      </c>
      <c r="Z12" s="26">
        <v>46098.6693634259</v>
      </c>
      <c r="AA12" s="25" t="s">
        <v>564</v>
      </c>
      <c r="AB12" s="25" t="s">
        <v>548</v>
      </c>
      <c r="AC12" s="25"/>
      <c r="AD12" s="25" t="s">
        <v>565</v>
      </c>
      <c r="AE12" s="25" t="s">
        <v>550</v>
      </c>
      <c r="AF12" s="25"/>
      <c r="AG12" s="28" t="s">
        <v>551</v>
      </c>
      <c r="AH12" s="26">
        <v>46098.6693865741</v>
      </c>
      <c r="AI12" s="25"/>
      <c r="AJ12" s="25"/>
      <c r="AK12" s="25"/>
      <c r="AL12" s="25"/>
      <c r="AM12" s="25" t="s">
        <v>552</v>
      </c>
      <c r="AN12" s="25" t="s">
        <v>576</v>
      </c>
      <c r="AO12" s="25" t="s">
        <v>553</v>
      </c>
      <c r="AP12" s="25" t="s">
        <v>554</v>
      </c>
      <c r="AQ12" s="26">
        <v>46098.6901967593</v>
      </c>
      <c r="AR12" s="25" t="s">
        <v>570</v>
      </c>
      <c r="AS12" s="25"/>
      <c r="AT12" s="25"/>
      <c r="AU12" s="25"/>
    </row>
    <row r="13" s="1" customFormat="1" spans="1:47">
      <c r="A13" s="25" t="s">
        <v>571</v>
      </c>
      <c r="B13" s="25" t="s">
        <v>535</v>
      </c>
      <c r="C13" s="25"/>
      <c r="D13" s="25" t="s">
        <v>572</v>
      </c>
      <c r="E13" s="25" t="s">
        <v>537</v>
      </c>
      <c r="F13" s="25" t="s">
        <v>609</v>
      </c>
      <c r="G13" s="25" t="s">
        <v>539</v>
      </c>
      <c r="H13" s="25"/>
      <c r="I13" s="25" t="s">
        <v>540</v>
      </c>
      <c r="J13" s="25" t="s">
        <v>560</v>
      </c>
      <c r="K13" s="25" t="s">
        <v>574</v>
      </c>
      <c r="L13" s="26">
        <v>46098.667650463</v>
      </c>
      <c r="M13" s="26">
        <v>46098.667650463</v>
      </c>
      <c r="N13" s="25" t="s">
        <v>562</v>
      </c>
      <c r="O13" s="25"/>
      <c r="P13" s="25" t="s">
        <v>535</v>
      </c>
      <c r="Q13" s="25"/>
      <c r="R13" s="25"/>
      <c r="S13" s="25"/>
      <c r="T13" s="25"/>
      <c r="U13" s="25" t="s">
        <v>575</v>
      </c>
      <c r="V13" s="25" t="s">
        <v>545</v>
      </c>
      <c r="W13" s="25" t="s">
        <v>471</v>
      </c>
      <c r="X13" s="25" t="s">
        <v>546</v>
      </c>
      <c r="Y13" s="25" t="s">
        <v>547</v>
      </c>
      <c r="Z13" s="26">
        <v>46098.668587963</v>
      </c>
      <c r="AA13" s="25" t="s">
        <v>564</v>
      </c>
      <c r="AB13" s="25" t="s">
        <v>548</v>
      </c>
      <c r="AC13" s="25"/>
      <c r="AD13" s="25" t="s">
        <v>565</v>
      </c>
      <c r="AE13" s="25" t="s">
        <v>550</v>
      </c>
      <c r="AF13" s="25"/>
      <c r="AG13" s="28" t="s">
        <v>610</v>
      </c>
      <c r="AH13" s="26">
        <v>46098.6686921296</v>
      </c>
      <c r="AI13" s="25"/>
      <c r="AJ13" s="25"/>
      <c r="AK13" s="25"/>
      <c r="AL13" s="25"/>
      <c r="AM13" s="25" t="s">
        <v>552</v>
      </c>
      <c r="AN13" s="25" t="s">
        <v>576</v>
      </c>
      <c r="AO13" s="25" t="s">
        <v>553</v>
      </c>
      <c r="AP13" s="25" t="s">
        <v>554</v>
      </c>
      <c r="AQ13" s="26">
        <v>46098.6894212963</v>
      </c>
      <c r="AR13" s="25" t="s">
        <v>570</v>
      </c>
      <c r="AS13" s="25"/>
      <c r="AT13" s="25"/>
      <c r="AU13" s="25"/>
    </row>
    <row r="14" s="1" customFormat="1" spans="1:47">
      <c r="A14" s="25" t="s">
        <v>571</v>
      </c>
      <c r="B14" s="25" t="s">
        <v>535</v>
      </c>
      <c r="C14" s="25"/>
      <c r="D14" s="25" t="s">
        <v>572</v>
      </c>
      <c r="E14" s="25" t="s">
        <v>537</v>
      </c>
      <c r="F14" s="25" t="s">
        <v>611</v>
      </c>
      <c r="G14" s="25" t="s">
        <v>539</v>
      </c>
      <c r="H14" s="25"/>
      <c r="I14" s="25" t="s">
        <v>540</v>
      </c>
      <c r="J14" s="25" t="s">
        <v>560</v>
      </c>
      <c r="K14" s="25" t="s">
        <v>574</v>
      </c>
      <c r="L14" s="26">
        <v>46098.6666666667</v>
      </c>
      <c r="M14" s="26">
        <v>46098.6666666667</v>
      </c>
      <c r="N14" s="25" t="s">
        <v>602</v>
      </c>
      <c r="O14" s="25"/>
      <c r="P14" s="25" t="s">
        <v>535</v>
      </c>
      <c r="Q14" s="25"/>
      <c r="R14" s="25"/>
      <c r="S14" s="25"/>
      <c r="T14" s="25"/>
      <c r="U14" s="25" t="s">
        <v>575</v>
      </c>
      <c r="V14" s="25" t="s">
        <v>545</v>
      </c>
      <c r="W14" s="25" t="s">
        <v>471</v>
      </c>
      <c r="X14" s="25" t="s">
        <v>546</v>
      </c>
      <c r="Y14" s="25" t="s">
        <v>547</v>
      </c>
      <c r="Z14" s="26">
        <v>46098.6676388889</v>
      </c>
      <c r="AA14" s="25" t="s">
        <v>564</v>
      </c>
      <c r="AB14" s="25" t="s">
        <v>548</v>
      </c>
      <c r="AC14" s="25"/>
      <c r="AD14" s="25" t="s">
        <v>565</v>
      </c>
      <c r="AE14" s="25" t="s">
        <v>550</v>
      </c>
      <c r="AF14" s="25"/>
      <c r="AG14" s="28" t="s">
        <v>581</v>
      </c>
      <c r="AH14" s="26">
        <v>46098.6676736111</v>
      </c>
      <c r="AI14" s="25"/>
      <c r="AJ14" s="25"/>
      <c r="AK14" s="25"/>
      <c r="AL14" s="25"/>
      <c r="AM14" s="25" t="s">
        <v>552</v>
      </c>
      <c r="AN14" s="25" t="s">
        <v>576</v>
      </c>
      <c r="AO14" s="25" t="s">
        <v>553</v>
      </c>
      <c r="AP14" s="25" t="s">
        <v>554</v>
      </c>
      <c r="AQ14" s="26">
        <v>46098.6884722222</v>
      </c>
      <c r="AR14" s="25" t="s">
        <v>570</v>
      </c>
      <c r="AS14" s="25"/>
      <c r="AT14" s="25"/>
      <c r="AU14" s="25"/>
    </row>
  </sheetData>
  <autoFilter ref="A1:AU14">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D20"/>
  <sheetViews>
    <sheetView zoomScale="110" zoomScaleNormal="110" topLeftCell="R1" workbookViewId="0">
      <selection activeCell="AC24" sqref="AC24"/>
    </sheetView>
  </sheetViews>
  <sheetFormatPr defaultColWidth="9" defaultRowHeight="14.4"/>
  <cols>
    <col min="1" max="1" width="11.75" customWidth="1"/>
    <col min="2" max="2" width="16.2314814814815" style="2" customWidth="1"/>
    <col min="3" max="3" width="21.6388888888889" customWidth="1"/>
    <col min="4" max="4" width="52.4074074074074" customWidth="1"/>
    <col min="5" max="5" width="18.5833333333333" customWidth="1"/>
    <col min="6" max="6" width="12.6666666666667" customWidth="1"/>
    <col min="7" max="7" width="13.8981481481481" customWidth="1"/>
    <col min="8" max="9" width="9" customWidth="1"/>
    <col min="10" max="10" width="20.2222222222222" customWidth="1"/>
    <col min="11" max="11" width="11.4444444444444" customWidth="1"/>
    <col min="12" max="12" width="9" customWidth="1"/>
    <col min="13" max="13" width="11.1018518518519" customWidth="1"/>
    <col min="14" max="15" width="9" customWidth="1"/>
    <col min="16" max="16" width="26.7592592592593" customWidth="1"/>
    <col min="17" max="24" width="9" customWidth="1"/>
    <col min="25" max="26" width="10.7777777777778" style="3" customWidth="1"/>
    <col min="27" max="27" width="9" customWidth="1"/>
    <col min="28" max="28" width="11.7777777777778" customWidth="1"/>
    <col min="29" max="29" width="16.0740740740741"/>
    <col min="30" max="30" width="17.5555555555556" style="4" customWidth="1"/>
    <col min="31" max="32" width="16.4444444444444" style="4" customWidth="1"/>
    <col min="33" max="33" width="16.2314814814815" style="4" customWidth="1"/>
    <col min="34" max="34" width="16.4444444444444" style="4" customWidth="1"/>
    <col min="35" max="36" width="10.7777777777778" customWidth="1"/>
    <col min="37" max="41" width="9" customWidth="1"/>
    <col min="42" max="42" width="32.6944444444444" customWidth="1"/>
    <col min="43" max="43" width="23.0185185185185" customWidth="1"/>
    <col min="44" max="44" width="9" customWidth="1"/>
    <col min="45" max="45" width="11.8981481481481" customWidth="1"/>
    <col min="46" max="46" width="13.4444444444444" customWidth="1"/>
    <col min="47" max="47" width="9" customWidth="1"/>
    <col min="48" max="48" width="11.8425925925926" customWidth="1"/>
    <col min="49" max="49" width="10.7777777777778" customWidth="1"/>
    <col min="50" max="50" width="18.6666666666667"/>
    <col min="52" max="56" width="14.0740740740741" style="5"/>
  </cols>
  <sheetData>
    <row r="1" ht="87" customHeight="1" spans="1:4">
      <c r="A1" s="6" t="s">
        <v>612</v>
      </c>
      <c r="B1" s="7"/>
      <c r="C1" s="8"/>
      <c r="D1" s="8"/>
    </row>
    <row r="2" s="1" customFormat="1" ht="24" customHeight="1" spans="1:56">
      <c r="A2" s="9" t="s">
        <v>282</v>
      </c>
      <c r="B2" s="10" t="s">
        <v>613</v>
      </c>
      <c r="C2" s="11" t="s">
        <v>337</v>
      </c>
      <c r="D2" s="11" t="s">
        <v>614</v>
      </c>
      <c r="E2" s="12" t="s">
        <v>489</v>
      </c>
      <c r="F2" s="12" t="s">
        <v>445</v>
      </c>
      <c r="G2" s="12" t="s">
        <v>504</v>
      </c>
      <c r="H2" s="12" t="s">
        <v>615</v>
      </c>
      <c r="I2" s="14" t="s">
        <v>616</v>
      </c>
      <c r="J2" s="12" t="s">
        <v>493</v>
      </c>
      <c r="K2" s="12" t="s">
        <v>494</v>
      </c>
      <c r="L2" s="12" t="s">
        <v>506</v>
      </c>
      <c r="M2" s="12" t="s">
        <v>617</v>
      </c>
      <c r="N2" s="12" t="s">
        <v>618</v>
      </c>
      <c r="O2" s="14" t="s">
        <v>619</v>
      </c>
      <c r="P2" s="12" t="s">
        <v>620</v>
      </c>
      <c r="Q2" s="12" t="s">
        <v>364</v>
      </c>
      <c r="R2" s="12" t="s">
        <v>621</v>
      </c>
      <c r="S2" s="12" t="s">
        <v>622</v>
      </c>
      <c r="T2" s="12" t="s">
        <v>509</v>
      </c>
      <c r="U2" s="12" t="s">
        <v>510</v>
      </c>
      <c r="V2" s="14" t="s">
        <v>502</v>
      </c>
      <c r="W2" s="12" t="s">
        <v>623</v>
      </c>
      <c r="X2" s="12" t="s">
        <v>624</v>
      </c>
      <c r="Y2" s="12" t="s">
        <v>501</v>
      </c>
      <c r="Z2" s="12" t="s">
        <v>508</v>
      </c>
      <c r="AA2" s="12" t="s">
        <v>450</v>
      </c>
      <c r="AB2" s="12" t="s">
        <v>505</v>
      </c>
      <c r="AC2" s="12" t="s">
        <v>625</v>
      </c>
      <c r="AD2" s="12" t="s">
        <v>626</v>
      </c>
      <c r="AE2" s="12" t="s">
        <v>627</v>
      </c>
      <c r="AF2" s="12" t="s">
        <v>628</v>
      </c>
      <c r="AG2" s="12" t="s">
        <v>629</v>
      </c>
      <c r="AH2" s="12" t="s">
        <v>630</v>
      </c>
      <c r="AI2" s="12" t="s">
        <v>631</v>
      </c>
      <c r="AJ2" s="12" t="s">
        <v>632</v>
      </c>
      <c r="AK2" s="12" t="s">
        <v>633</v>
      </c>
      <c r="AL2" s="12" t="s">
        <v>496</v>
      </c>
      <c r="AM2" s="12" t="s">
        <v>511</v>
      </c>
      <c r="AN2" s="12" t="s">
        <v>634</v>
      </c>
      <c r="AO2" s="12" t="s">
        <v>635</v>
      </c>
      <c r="AP2" s="12" t="s">
        <v>636</v>
      </c>
      <c r="AQ2" s="12" t="s">
        <v>637</v>
      </c>
      <c r="AR2" s="12" t="s">
        <v>638</v>
      </c>
      <c r="AS2" s="12" t="s">
        <v>639</v>
      </c>
      <c r="AT2" s="12" t="s">
        <v>640</v>
      </c>
      <c r="AU2" s="12" t="s">
        <v>641</v>
      </c>
      <c r="AV2" s="12" t="s">
        <v>642</v>
      </c>
      <c r="AW2" s="12" t="s">
        <v>643</v>
      </c>
      <c r="AX2" s="12" t="s">
        <v>644</v>
      </c>
      <c r="AY2" s="1" t="s">
        <v>645</v>
      </c>
      <c r="AZ2" s="22" t="s">
        <v>646</v>
      </c>
      <c r="BA2" s="22" t="s">
        <v>647</v>
      </c>
      <c r="BB2" s="22" t="s">
        <v>648</v>
      </c>
      <c r="BC2" s="22" t="s">
        <v>649</v>
      </c>
      <c r="BD2" s="22" t="s">
        <v>642</v>
      </c>
    </row>
    <row r="3" s="1" customFormat="1" spans="1:56">
      <c r="A3" s="1" t="s">
        <v>650</v>
      </c>
      <c r="B3" s="2">
        <v>45891.3874421296</v>
      </c>
      <c r="C3" s="13" t="s">
        <v>651</v>
      </c>
      <c r="D3" s="13" t="s">
        <v>652</v>
      </c>
      <c r="E3" s="13" t="s">
        <v>653</v>
      </c>
      <c r="F3" s="13"/>
      <c r="G3" s="13"/>
      <c r="H3" s="13"/>
      <c r="I3" s="15" t="s">
        <v>654</v>
      </c>
      <c r="J3" s="13" t="s">
        <v>539</v>
      </c>
      <c r="K3" s="13"/>
      <c r="L3" s="13"/>
      <c r="M3" s="13" t="s">
        <v>184</v>
      </c>
      <c r="N3" s="13" t="s">
        <v>651</v>
      </c>
      <c r="O3" s="16" t="s">
        <v>588</v>
      </c>
      <c r="P3" s="13"/>
      <c r="Q3" s="13"/>
      <c r="R3" s="13"/>
      <c r="S3" s="13" t="s">
        <v>547</v>
      </c>
      <c r="T3" s="13" t="s">
        <v>655</v>
      </c>
      <c r="U3" s="13"/>
      <c r="V3" s="20" t="s">
        <v>655</v>
      </c>
      <c r="W3" s="13" t="s">
        <v>651</v>
      </c>
      <c r="X3" s="13" t="s">
        <v>656</v>
      </c>
      <c r="Y3" s="13"/>
      <c r="Z3" s="13" t="s">
        <v>545</v>
      </c>
      <c r="AA3" s="13"/>
      <c r="AB3" s="13"/>
      <c r="AC3" s="21">
        <v>45891.3874537037</v>
      </c>
      <c r="AD3" s="21">
        <v>45891.3841319444</v>
      </c>
      <c r="AE3" s="21"/>
      <c r="AF3" s="21"/>
      <c r="AG3" s="21"/>
      <c r="AH3" s="13"/>
      <c r="AI3" s="13"/>
      <c r="AJ3" s="13"/>
      <c r="AK3" s="13"/>
      <c r="AL3" s="13"/>
      <c r="AM3" s="13"/>
      <c r="AN3" s="13"/>
      <c r="AO3" s="13"/>
      <c r="AP3" s="13"/>
      <c r="AQ3" s="13" t="s">
        <v>657</v>
      </c>
      <c r="AR3" s="13"/>
      <c r="AS3" s="13"/>
      <c r="AT3" s="13"/>
      <c r="AU3" s="13"/>
      <c r="AV3" s="13"/>
      <c r="AW3" s="13"/>
      <c r="AX3" s="21"/>
      <c r="AY3" s="1" t="e">
        <f>VLOOKUP(E3,资产表!C:AG,31,0)</f>
        <v>#N/A</v>
      </c>
      <c r="AZ3" s="22">
        <f t="shared" ref="AZ3:AZ13" si="0">IF(A3&lt;&gt;"最新威胁",ROUND((B3-AD3)*24*60,2),"")</f>
        <v>4.77</v>
      </c>
      <c r="BA3" s="22">
        <f t="shared" ref="BA3:BA13" si="1">IF(A3&lt;&gt;"最新威胁",IF(ISBLANK(AX3),IF(ISBLANK(AE3),ROUND((AC3-B3)*24*60,2),ROUND((AE3-B3)*24*60,2)),ROUND((AX3-B3)*24*60,2)),"")</f>
        <v>0.02</v>
      </c>
      <c r="BB3" s="22" t="str">
        <f t="shared" ref="BB3:BB13" si="2">IF(A3&lt;&gt;"最新威胁",IF(ISBLANK(AX3),"",ROUND((AX3-B3)*24*60,2)),"")</f>
        <v/>
      </c>
      <c r="BC3" s="22">
        <f t="shared" ref="BC3:BC13" si="3">IF(A3&lt;&gt;"最新威胁",IF(ISBLANK(AF3),ROUND((AC3-B3)*24*60,2),ROUND((AF3-B3)*24*60,2)),"")</f>
        <v>0.02</v>
      </c>
      <c r="BD3" s="22">
        <f t="shared" ref="BD3:BD13" si="4">IF(A3&lt;&gt;"最新威胁",IF(ISBLANK(AG3),ROUND((AC3-B3)*24*60,2),ROUND((AG3-B3)*24*60,2)),"")</f>
        <v>0.02</v>
      </c>
    </row>
    <row r="4" s="1" customFormat="1" spans="1:56">
      <c r="A4" s="1" t="s">
        <v>650</v>
      </c>
      <c r="B4" s="2">
        <v>45943.9592592593</v>
      </c>
      <c r="C4" s="13" t="s">
        <v>651</v>
      </c>
      <c r="D4" s="13" t="s">
        <v>658</v>
      </c>
      <c r="E4" s="13"/>
      <c r="F4" s="13"/>
      <c r="G4" s="13"/>
      <c r="H4" s="13"/>
      <c r="I4" s="15" t="s">
        <v>654</v>
      </c>
      <c r="J4" s="13" t="s">
        <v>539</v>
      </c>
      <c r="K4" s="13"/>
      <c r="L4" s="13"/>
      <c r="M4" s="13" t="s">
        <v>659</v>
      </c>
      <c r="N4" s="13" t="s">
        <v>651</v>
      </c>
      <c r="O4" s="16" t="s">
        <v>588</v>
      </c>
      <c r="P4" s="13"/>
      <c r="Q4" s="13"/>
      <c r="R4" s="13"/>
      <c r="S4" s="13" t="s">
        <v>660</v>
      </c>
      <c r="T4" s="13" t="s">
        <v>655</v>
      </c>
      <c r="U4" s="13"/>
      <c r="V4" s="20" t="s">
        <v>655</v>
      </c>
      <c r="W4" s="13" t="s">
        <v>651</v>
      </c>
      <c r="X4" s="13" t="s">
        <v>656</v>
      </c>
      <c r="Y4" s="13"/>
      <c r="Z4" s="13" t="s">
        <v>545</v>
      </c>
      <c r="AA4" s="13"/>
      <c r="AB4" s="13"/>
      <c r="AC4" s="21">
        <v>45943.9897685185</v>
      </c>
      <c r="AD4" s="21">
        <v>45943.9564236111</v>
      </c>
      <c r="AE4" s="21"/>
      <c r="AF4" s="21"/>
      <c r="AG4" s="21"/>
      <c r="AH4" s="13"/>
      <c r="AI4" s="13"/>
      <c r="AJ4" s="13"/>
      <c r="AK4" s="13"/>
      <c r="AL4" s="13"/>
      <c r="AM4" s="13"/>
      <c r="AN4" s="13"/>
      <c r="AO4" s="13"/>
      <c r="AP4" s="13"/>
      <c r="AQ4" s="13" t="s">
        <v>657</v>
      </c>
      <c r="AR4" s="13"/>
      <c r="AS4" s="13"/>
      <c r="AT4" s="13"/>
      <c r="AU4" s="13"/>
      <c r="AV4" s="13"/>
      <c r="AW4" s="13"/>
      <c r="AX4" s="21"/>
      <c r="AY4" s="1" t="e">
        <f>VLOOKUP(E4,资产表!C:AG,31,0)</f>
        <v>#N/A</v>
      </c>
      <c r="AZ4" s="22">
        <f t="shared" si="0"/>
        <v>4.08</v>
      </c>
      <c r="BA4" s="22">
        <f t="shared" si="1"/>
        <v>43.93</v>
      </c>
      <c r="BB4" s="22" t="str">
        <f t="shared" si="2"/>
        <v/>
      </c>
      <c r="BC4" s="22">
        <f t="shared" si="3"/>
        <v>43.93</v>
      </c>
      <c r="BD4" s="22">
        <f t="shared" si="4"/>
        <v>43.93</v>
      </c>
    </row>
    <row r="5" s="1" customFormat="1" spans="1:56">
      <c r="A5" s="1" t="s">
        <v>293</v>
      </c>
      <c r="B5" s="2">
        <v>45947.364375</v>
      </c>
      <c r="C5" s="13" t="s">
        <v>90</v>
      </c>
      <c r="D5" s="13" t="s">
        <v>571</v>
      </c>
      <c r="E5" s="13"/>
      <c r="F5" s="13"/>
      <c r="G5" s="13"/>
      <c r="H5" s="13"/>
      <c r="I5" s="15" t="s">
        <v>654</v>
      </c>
      <c r="J5" s="13" t="s">
        <v>539</v>
      </c>
      <c r="K5" s="13"/>
      <c r="L5" s="13"/>
      <c r="M5" s="13" t="s">
        <v>659</v>
      </c>
      <c r="N5" s="13" t="s">
        <v>90</v>
      </c>
      <c r="O5" s="16" t="s">
        <v>557</v>
      </c>
      <c r="P5" s="13"/>
      <c r="Q5" s="13"/>
      <c r="R5" s="13"/>
      <c r="S5" s="13" t="s">
        <v>547</v>
      </c>
      <c r="T5" s="13" t="s">
        <v>471</v>
      </c>
      <c r="U5" s="13"/>
      <c r="V5" s="20" t="s">
        <v>557</v>
      </c>
      <c r="W5" s="13" t="s">
        <v>574</v>
      </c>
      <c r="X5" s="13"/>
      <c r="Y5" s="13"/>
      <c r="Z5" s="13" t="s">
        <v>545</v>
      </c>
      <c r="AA5" s="13"/>
      <c r="AB5" s="13"/>
      <c r="AC5" s="21">
        <v>46028.3975810185</v>
      </c>
      <c r="AD5" s="21">
        <v>45947.3634027778</v>
      </c>
      <c r="AE5" s="21">
        <v>45947.3751967593</v>
      </c>
      <c r="AF5" s="21">
        <v>45947.3975810185</v>
      </c>
      <c r="AG5" s="21">
        <v>46028.3975810185</v>
      </c>
      <c r="AH5" s="13"/>
      <c r="AI5" s="13"/>
      <c r="AJ5" s="13"/>
      <c r="AK5" s="13" t="s">
        <v>661</v>
      </c>
      <c r="AL5" s="13"/>
      <c r="AM5" s="13"/>
      <c r="AN5" s="13"/>
      <c r="AO5" s="13"/>
      <c r="AP5" s="13"/>
      <c r="AQ5" s="13" t="s">
        <v>662</v>
      </c>
      <c r="AR5" s="13"/>
      <c r="AS5" s="13"/>
      <c r="AT5" s="13"/>
      <c r="AU5" s="13"/>
      <c r="AV5" s="13" t="s">
        <v>663</v>
      </c>
      <c r="AW5" s="13"/>
      <c r="AX5" s="21"/>
      <c r="AY5" s="1" t="e">
        <f>VLOOKUP(E5,资产表!C:AG,31,0)</f>
        <v>#N/A</v>
      </c>
      <c r="AZ5" s="22">
        <f t="shared" si="0"/>
        <v>1.4</v>
      </c>
      <c r="BA5" s="22">
        <f t="shared" si="1"/>
        <v>15.58</v>
      </c>
      <c r="BB5" s="22" t="str">
        <f t="shared" si="2"/>
        <v/>
      </c>
      <c r="BC5" s="22">
        <f t="shared" si="3"/>
        <v>47.82</v>
      </c>
      <c r="BD5" s="22">
        <f t="shared" si="4"/>
        <v>116687.82</v>
      </c>
    </row>
    <row r="6" s="1" customFormat="1" spans="1:56">
      <c r="A6" s="1" t="s">
        <v>293</v>
      </c>
      <c r="B6" s="2">
        <v>45973.5874768519</v>
      </c>
      <c r="C6" s="13" t="s">
        <v>664</v>
      </c>
      <c r="D6" s="13" t="s">
        <v>571</v>
      </c>
      <c r="E6" s="13"/>
      <c r="F6" s="13"/>
      <c r="G6" s="13"/>
      <c r="H6" s="13"/>
      <c r="I6" s="15" t="s">
        <v>654</v>
      </c>
      <c r="J6" s="13" t="s">
        <v>539</v>
      </c>
      <c r="K6" s="13"/>
      <c r="L6" s="13"/>
      <c r="M6" s="13" t="s">
        <v>659</v>
      </c>
      <c r="N6" s="13" t="s">
        <v>90</v>
      </c>
      <c r="O6" s="16" t="s">
        <v>557</v>
      </c>
      <c r="P6" s="13"/>
      <c r="Q6" s="13"/>
      <c r="R6" s="13"/>
      <c r="S6" s="13" t="s">
        <v>547</v>
      </c>
      <c r="T6" s="13" t="s">
        <v>471</v>
      </c>
      <c r="U6" s="13"/>
      <c r="V6" s="20" t="s">
        <v>588</v>
      </c>
      <c r="W6" s="13"/>
      <c r="X6" s="13"/>
      <c r="Y6" s="13"/>
      <c r="Z6" s="13" t="s">
        <v>545</v>
      </c>
      <c r="AA6" s="13"/>
      <c r="AB6" s="13"/>
      <c r="AC6" s="21">
        <v>46028.3975810185</v>
      </c>
      <c r="AD6" s="21">
        <v>45973.5866319444</v>
      </c>
      <c r="AE6" s="21">
        <v>45973.5906944444</v>
      </c>
      <c r="AF6" s="21">
        <v>45973.6059143519</v>
      </c>
      <c r="AG6" s="21">
        <v>46028.3975810185</v>
      </c>
      <c r="AH6" s="13"/>
      <c r="AI6" s="13"/>
      <c r="AJ6" s="13"/>
      <c r="AK6" s="13" t="s">
        <v>661</v>
      </c>
      <c r="AL6" s="13"/>
      <c r="AM6" s="13"/>
      <c r="AN6" s="13"/>
      <c r="AO6" s="13"/>
      <c r="AP6" s="13"/>
      <c r="AQ6" s="13" t="s">
        <v>662</v>
      </c>
      <c r="AR6" s="13"/>
      <c r="AS6" s="13"/>
      <c r="AT6" s="13"/>
      <c r="AU6" s="13"/>
      <c r="AV6" s="13" t="s">
        <v>663</v>
      </c>
      <c r="AW6" s="13" t="s">
        <v>665</v>
      </c>
      <c r="AX6" s="21">
        <v>45973.5906828704</v>
      </c>
      <c r="AY6" s="1" t="e">
        <f>VLOOKUP(E6,资产表!C:AG,31,0)</f>
        <v>#N/A</v>
      </c>
      <c r="AZ6" s="22">
        <f t="shared" si="0"/>
        <v>1.22</v>
      </c>
      <c r="BA6" s="22">
        <f t="shared" si="1"/>
        <v>4.62</v>
      </c>
      <c r="BB6" s="22">
        <f t="shared" si="2"/>
        <v>4.62</v>
      </c>
      <c r="BC6" s="22">
        <f t="shared" si="3"/>
        <v>26.55</v>
      </c>
      <c r="BD6" s="22">
        <f t="shared" si="4"/>
        <v>78926.55</v>
      </c>
    </row>
    <row r="7" s="1" customFormat="1" spans="1:56">
      <c r="A7" s="1" t="s">
        <v>293</v>
      </c>
      <c r="B7" s="2">
        <v>46076.7486689815</v>
      </c>
      <c r="C7" s="13" t="s">
        <v>666</v>
      </c>
      <c r="D7" s="13" t="s">
        <v>667</v>
      </c>
      <c r="E7" s="13"/>
      <c r="F7" s="13"/>
      <c r="G7" s="13"/>
      <c r="H7" s="13"/>
      <c r="I7" s="15" t="s">
        <v>654</v>
      </c>
      <c r="J7" s="13" t="s">
        <v>539</v>
      </c>
      <c r="K7" s="13"/>
      <c r="L7" s="13"/>
      <c r="M7" s="13" t="s">
        <v>184</v>
      </c>
      <c r="N7" s="13" t="s">
        <v>668</v>
      </c>
      <c r="O7" s="16" t="s">
        <v>557</v>
      </c>
      <c r="P7" s="13"/>
      <c r="Q7" s="13"/>
      <c r="R7" s="13"/>
      <c r="S7" s="13" t="s">
        <v>547</v>
      </c>
      <c r="T7" s="13" t="s">
        <v>471</v>
      </c>
      <c r="U7" s="13"/>
      <c r="V7" s="20" t="s">
        <v>588</v>
      </c>
      <c r="W7" s="13" t="s">
        <v>587</v>
      </c>
      <c r="X7" s="13" t="s">
        <v>669</v>
      </c>
      <c r="Y7" s="13"/>
      <c r="Z7" s="13" t="s">
        <v>545</v>
      </c>
      <c r="AA7" s="13"/>
      <c r="AB7" s="13"/>
      <c r="AC7" s="21">
        <v>46083.4132986111</v>
      </c>
      <c r="AD7" s="21">
        <v>46076.7473958333</v>
      </c>
      <c r="AE7" s="21">
        <v>46076.752650463</v>
      </c>
      <c r="AF7" s="21">
        <v>46083.4132986111</v>
      </c>
      <c r="AG7" s="21">
        <v>46083.4132986111</v>
      </c>
      <c r="AH7" s="13"/>
      <c r="AI7" s="13"/>
      <c r="AJ7" s="13"/>
      <c r="AK7" s="13" t="s">
        <v>661</v>
      </c>
      <c r="AL7" s="13"/>
      <c r="AM7" s="13"/>
      <c r="AN7" s="13"/>
      <c r="AO7" s="13"/>
      <c r="AP7" s="13"/>
      <c r="AQ7" s="13" t="s">
        <v>670</v>
      </c>
      <c r="AR7" s="13"/>
      <c r="AS7" s="13"/>
      <c r="AT7" s="13"/>
      <c r="AU7" s="13"/>
      <c r="AV7" s="13" t="s">
        <v>671</v>
      </c>
      <c r="AW7" s="13" t="s">
        <v>665</v>
      </c>
      <c r="AX7" s="21">
        <v>46076.7524652778</v>
      </c>
      <c r="AY7" s="1" t="e">
        <f>VLOOKUP(E7,资产表!C:AG,31,0)</f>
        <v>#N/A</v>
      </c>
      <c r="AZ7" s="22">
        <f t="shared" si="0"/>
        <v>1.83</v>
      </c>
      <c r="BA7" s="22">
        <f t="shared" si="1"/>
        <v>5.47</v>
      </c>
      <c r="BB7" s="22">
        <f t="shared" si="2"/>
        <v>5.47</v>
      </c>
      <c r="BC7" s="22">
        <f t="shared" si="3"/>
        <v>9597.07</v>
      </c>
      <c r="BD7" s="22">
        <f t="shared" si="4"/>
        <v>9597.07</v>
      </c>
    </row>
    <row r="8" s="1" customFormat="1" spans="1:56">
      <c r="A8" s="1" t="s">
        <v>293</v>
      </c>
      <c r="B8" s="2">
        <v>46077.6402662037</v>
      </c>
      <c r="C8" s="13" t="s">
        <v>672</v>
      </c>
      <c r="D8" s="13" t="s">
        <v>673</v>
      </c>
      <c r="E8" s="13"/>
      <c r="F8" s="13"/>
      <c r="G8" s="13"/>
      <c r="H8" s="13"/>
      <c r="I8" s="15" t="s">
        <v>654</v>
      </c>
      <c r="J8" s="13" t="s">
        <v>539</v>
      </c>
      <c r="K8" s="13"/>
      <c r="L8" s="13" t="s">
        <v>389</v>
      </c>
      <c r="M8" s="13" t="s">
        <v>659</v>
      </c>
      <c r="N8" s="13" t="s">
        <v>113</v>
      </c>
      <c r="O8" s="16" t="s">
        <v>557</v>
      </c>
      <c r="P8" s="13"/>
      <c r="Q8" s="13"/>
      <c r="R8" s="13"/>
      <c r="S8" s="13" t="s">
        <v>547</v>
      </c>
      <c r="T8" s="13" t="s">
        <v>471</v>
      </c>
      <c r="U8" s="13"/>
      <c r="V8" s="20" t="s">
        <v>588</v>
      </c>
      <c r="W8" s="13"/>
      <c r="X8" s="13" t="s">
        <v>674</v>
      </c>
      <c r="Y8" s="13"/>
      <c r="Z8" s="13" t="s">
        <v>545</v>
      </c>
      <c r="AA8" s="13"/>
      <c r="AB8" s="13"/>
      <c r="AC8" s="21">
        <v>46083.4132986111</v>
      </c>
      <c r="AD8" s="21">
        <v>46077.6394560185</v>
      </c>
      <c r="AE8" s="21">
        <v>46077.6480208333</v>
      </c>
      <c r="AF8" s="21">
        <v>46083.4132986111</v>
      </c>
      <c r="AG8" s="21">
        <v>46083.4132986111</v>
      </c>
      <c r="AH8" s="13"/>
      <c r="AI8" s="13"/>
      <c r="AJ8" s="13"/>
      <c r="AK8" s="13" t="s">
        <v>661</v>
      </c>
      <c r="AL8" s="13"/>
      <c r="AM8" s="13"/>
      <c r="AN8" s="13"/>
      <c r="AO8" s="13"/>
      <c r="AP8" s="13"/>
      <c r="AQ8" s="13" t="s">
        <v>670</v>
      </c>
      <c r="AR8" s="13"/>
      <c r="AS8" s="13"/>
      <c r="AT8" s="13"/>
      <c r="AU8" s="13"/>
      <c r="AV8" s="13" t="s">
        <v>671</v>
      </c>
      <c r="AW8" s="13" t="s">
        <v>665</v>
      </c>
      <c r="AX8" s="21">
        <v>46077.647974537</v>
      </c>
      <c r="AY8" s="1" t="e">
        <f>VLOOKUP(E8,资产表!C:AG,31,0)</f>
        <v>#N/A</v>
      </c>
      <c r="AZ8" s="22">
        <f t="shared" si="0"/>
        <v>1.17</v>
      </c>
      <c r="BA8" s="22">
        <f t="shared" si="1"/>
        <v>11.1</v>
      </c>
      <c r="BB8" s="22">
        <f t="shared" si="2"/>
        <v>11.1</v>
      </c>
      <c r="BC8" s="22">
        <f t="shared" si="3"/>
        <v>8313.17</v>
      </c>
      <c r="BD8" s="22">
        <f t="shared" si="4"/>
        <v>8313.17</v>
      </c>
    </row>
    <row r="9" s="1" customFormat="1" spans="1:56">
      <c r="A9" s="1" t="s">
        <v>269</v>
      </c>
      <c r="B9" s="2">
        <v>45985.3865509259</v>
      </c>
      <c r="C9" s="13" t="s">
        <v>675</v>
      </c>
      <c r="D9" s="13" t="s">
        <v>534</v>
      </c>
      <c r="E9" s="13"/>
      <c r="F9" s="13"/>
      <c r="G9" s="13"/>
      <c r="H9" s="13"/>
      <c r="I9" s="15" t="s">
        <v>654</v>
      </c>
      <c r="J9" s="13" t="s">
        <v>539</v>
      </c>
      <c r="K9" s="13"/>
      <c r="L9" s="13"/>
      <c r="M9" s="13" t="s">
        <v>176</v>
      </c>
      <c r="N9" s="13" t="s">
        <v>676</v>
      </c>
      <c r="O9" s="17" t="s">
        <v>557</v>
      </c>
      <c r="P9" s="13"/>
      <c r="Q9" s="13"/>
      <c r="R9" s="13"/>
      <c r="S9" s="13" t="s">
        <v>547</v>
      </c>
      <c r="T9" s="13" t="s">
        <v>655</v>
      </c>
      <c r="U9" s="13"/>
      <c r="V9" s="17" t="s">
        <v>535</v>
      </c>
      <c r="W9" s="13" t="s">
        <v>677</v>
      </c>
      <c r="X9" s="13"/>
      <c r="Y9" s="13"/>
      <c r="Z9" s="13" t="s">
        <v>545</v>
      </c>
      <c r="AA9" s="13"/>
      <c r="AB9" s="13"/>
      <c r="AC9" s="21">
        <v>46002.7697453704</v>
      </c>
      <c r="AD9" s="21">
        <v>45985.3862152778</v>
      </c>
      <c r="AE9" s="21">
        <v>45985.3877662037</v>
      </c>
      <c r="AF9" s="21">
        <v>46002.7697453704</v>
      </c>
      <c r="AG9" s="21">
        <v>46002.7697453704</v>
      </c>
      <c r="AH9" s="13"/>
      <c r="AI9" s="13"/>
      <c r="AJ9" s="13" t="s">
        <v>678</v>
      </c>
      <c r="AK9" s="13" t="s">
        <v>661</v>
      </c>
      <c r="AL9" s="13"/>
      <c r="AM9" s="13"/>
      <c r="AN9" s="13"/>
      <c r="AO9" s="13"/>
      <c r="AP9" s="13"/>
      <c r="AQ9" s="13" t="s">
        <v>679</v>
      </c>
      <c r="AR9" s="13"/>
      <c r="AS9" s="13"/>
      <c r="AT9" s="13"/>
      <c r="AU9" s="13"/>
      <c r="AV9" s="13" t="s">
        <v>680</v>
      </c>
      <c r="AW9" s="13" t="s">
        <v>665</v>
      </c>
      <c r="AX9" s="21">
        <v>45985.3899421296</v>
      </c>
      <c r="AY9" s="1" t="e">
        <f>VLOOKUP(E9,资产表!C:AG,31,0)</f>
        <v>#N/A</v>
      </c>
      <c r="AZ9" s="22">
        <f t="shared" si="0"/>
        <v>0.48</v>
      </c>
      <c r="BA9" s="22">
        <f t="shared" si="1"/>
        <v>4.88</v>
      </c>
      <c r="BB9" s="22">
        <f t="shared" si="2"/>
        <v>4.88</v>
      </c>
      <c r="BC9" s="22">
        <f t="shared" si="3"/>
        <v>25031.8</v>
      </c>
      <c r="BD9" s="22">
        <f t="shared" si="4"/>
        <v>25031.8</v>
      </c>
    </row>
    <row r="10" s="1" customFormat="1" spans="1:56">
      <c r="A10" s="1" t="s">
        <v>269</v>
      </c>
      <c r="B10" s="2">
        <v>45880.4008564815</v>
      </c>
      <c r="C10" s="13" t="s">
        <v>675</v>
      </c>
      <c r="D10" s="13" t="s">
        <v>534</v>
      </c>
      <c r="E10" s="13"/>
      <c r="F10" s="13"/>
      <c r="G10" s="13"/>
      <c r="H10" s="13"/>
      <c r="I10" s="15" t="s">
        <v>654</v>
      </c>
      <c r="J10" s="13" t="s">
        <v>539</v>
      </c>
      <c r="K10" s="13"/>
      <c r="L10" s="13"/>
      <c r="M10" s="13" t="s">
        <v>176</v>
      </c>
      <c r="N10" s="13" t="s">
        <v>676</v>
      </c>
      <c r="O10" s="17" t="s">
        <v>557</v>
      </c>
      <c r="P10" s="13"/>
      <c r="Q10" s="13"/>
      <c r="R10" s="13"/>
      <c r="S10" s="13" t="s">
        <v>547</v>
      </c>
      <c r="T10" s="13" t="s">
        <v>471</v>
      </c>
      <c r="U10" s="13"/>
      <c r="V10" s="17" t="s">
        <v>557</v>
      </c>
      <c r="W10" s="13" t="s">
        <v>681</v>
      </c>
      <c r="X10" s="13"/>
      <c r="Y10" s="13"/>
      <c r="Z10" s="13" t="s">
        <v>545</v>
      </c>
      <c r="AA10" s="13"/>
      <c r="AB10" s="13"/>
      <c r="AC10" s="21">
        <v>45880.4727662037</v>
      </c>
      <c r="AD10" s="21">
        <v>45880.3985416667</v>
      </c>
      <c r="AE10" s="21">
        <v>45880.403599537</v>
      </c>
      <c r="AF10" s="21">
        <v>45880.4727662037</v>
      </c>
      <c r="AG10" s="21">
        <v>45880.4727662037</v>
      </c>
      <c r="AH10" s="13"/>
      <c r="AI10" s="13"/>
      <c r="AJ10" s="13" t="s">
        <v>678</v>
      </c>
      <c r="AK10" s="13" t="s">
        <v>661</v>
      </c>
      <c r="AL10" s="13"/>
      <c r="AM10" s="13"/>
      <c r="AN10" s="13"/>
      <c r="AO10" s="13"/>
      <c r="AP10" s="13"/>
      <c r="AQ10" s="13" t="s">
        <v>682</v>
      </c>
      <c r="AR10" s="13"/>
      <c r="AS10" s="13"/>
      <c r="AT10" s="13"/>
      <c r="AU10" s="13"/>
      <c r="AV10" s="13" t="s">
        <v>683</v>
      </c>
      <c r="AW10" s="13" t="s">
        <v>665</v>
      </c>
      <c r="AX10" s="21">
        <v>45880.4036111111</v>
      </c>
      <c r="AY10" s="1" t="e">
        <f>VLOOKUP(E10,资产表!C:AG,31,0)</f>
        <v>#N/A</v>
      </c>
      <c r="AZ10" s="22">
        <f t="shared" si="0"/>
        <v>3.33</v>
      </c>
      <c r="BA10" s="22">
        <f t="shared" si="1"/>
        <v>3.97</v>
      </c>
      <c r="BB10" s="22">
        <f t="shared" si="2"/>
        <v>3.97</v>
      </c>
      <c r="BC10" s="22">
        <f t="shared" si="3"/>
        <v>103.55</v>
      </c>
      <c r="BD10" s="22">
        <f t="shared" si="4"/>
        <v>103.55</v>
      </c>
    </row>
    <row r="11" s="1" customFormat="1" spans="1:56">
      <c r="A11" s="1" t="s">
        <v>269</v>
      </c>
      <c r="B11" s="2">
        <v>45958.7312037037</v>
      </c>
      <c r="C11" s="13" t="s">
        <v>684</v>
      </c>
      <c r="D11" s="13" t="s">
        <v>685</v>
      </c>
      <c r="E11" s="13"/>
      <c r="F11" s="13"/>
      <c r="G11" s="13"/>
      <c r="H11" s="13"/>
      <c r="I11" s="15" t="s">
        <v>654</v>
      </c>
      <c r="J11" s="13" t="s">
        <v>539</v>
      </c>
      <c r="K11" s="13"/>
      <c r="L11" s="13"/>
      <c r="M11" s="13" t="s">
        <v>176</v>
      </c>
      <c r="N11" s="13" t="s">
        <v>686</v>
      </c>
      <c r="O11" s="18" t="s">
        <v>535</v>
      </c>
      <c r="P11" s="13"/>
      <c r="Q11" s="13"/>
      <c r="R11" s="13"/>
      <c r="S11" s="13" t="s">
        <v>547</v>
      </c>
      <c r="T11" s="13" t="s">
        <v>471</v>
      </c>
      <c r="U11" s="13"/>
      <c r="V11" s="19" t="s">
        <v>557</v>
      </c>
      <c r="W11" s="13" t="s">
        <v>677</v>
      </c>
      <c r="X11" s="13"/>
      <c r="Y11" s="13"/>
      <c r="Z11" s="13" t="s">
        <v>545</v>
      </c>
      <c r="AA11" s="13"/>
      <c r="AB11" s="13"/>
      <c r="AC11" s="21">
        <v>46002.7697453704</v>
      </c>
      <c r="AD11" s="21">
        <v>45958.7310648148</v>
      </c>
      <c r="AE11" s="21">
        <v>45958.7324305556</v>
      </c>
      <c r="AF11" s="21">
        <v>46002.7697453704</v>
      </c>
      <c r="AG11" s="21">
        <v>46002.7697453704</v>
      </c>
      <c r="AH11" s="13"/>
      <c r="AI11" s="13"/>
      <c r="AJ11" s="13" t="s">
        <v>678</v>
      </c>
      <c r="AK11" s="13" t="s">
        <v>661</v>
      </c>
      <c r="AL11" s="13"/>
      <c r="AM11" s="13"/>
      <c r="AN11" s="13"/>
      <c r="AO11" s="13"/>
      <c r="AP11" s="13"/>
      <c r="AQ11" s="13" t="s">
        <v>679</v>
      </c>
      <c r="AR11" s="13"/>
      <c r="AS11" s="13"/>
      <c r="AT11" s="13"/>
      <c r="AU11" s="13"/>
      <c r="AV11" s="13" t="s">
        <v>680</v>
      </c>
      <c r="AW11" s="13" t="s">
        <v>665</v>
      </c>
      <c r="AX11" s="21">
        <v>45958.7324305556</v>
      </c>
      <c r="AY11" s="1" t="e">
        <f>VLOOKUP(E11,资产表!C:AG,31,0)</f>
        <v>#N/A</v>
      </c>
      <c r="AZ11" s="22">
        <f t="shared" si="0"/>
        <v>0.2</v>
      </c>
      <c r="BA11" s="22">
        <f t="shared" si="1"/>
        <v>1.77</v>
      </c>
      <c r="BB11" s="22">
        <f t="shared" si="2"/>
        <v>1.77</v>
      </c>
      <c r="BC11" s="22">
        <f t="shared" si="3"/>
        <v>63415.5</v>
      </c>
      <c r="BD11" s="22">
        <f t="shared" si="4"/>
        <v>63415.5</v>
      </c>
    </row>
    <row r="12" s="1" customFormat="1" spans="1:56">
      <c r="A12" s="1" t="s">
        <v>315</v>
      </c>
      <c r="B12" s="2">
        <v>45870.6352777778</v>
      </c>
      <c r="C12" s="13" t="s">
        <v>81</v>
      </c>
      <c r="D12" s="13" t="s">
        <v>687</v>
      </c>
      <c r="E12" s="13"/>
      <c r="F12" s="13"/>
      <c r="G12" s="13"/>
      <c r="H12" s="13"/>
      <c r="I12" s="15" t="s">
        <v>654</v>
      </c>
      <c r="J12" s="13" t="s">
        <v>539</v>
      </c>
      <c r="K12" s="13"/>
      <c r="L12" s="13" t="s">
        <v>389</v>
      </c>
      <c r="M12" s="13" t="s">
        <v>659</v>
      </c>
      <c r="N12" s="13" t="s">
        <v>81</v>
      </c>
      <c r="O12" s="16" t="s">
        <v>557</v>
      </c>
      <c r="P12" s="13"/>
      <c r="Q12" s="13"/>
      <c r="R12" s="13"/>
      <c r="S12" s="13" t="s">
        <v>547</v>
      </c>
      <c r="T12" s="13" t="s">
        <v>655</v>
      </c>
      <c r="U12" s="13"/>
      <c r="V12" s="18" t="s">
        <v>557</v>
      </c>
      <c r="W12" s="13"/>
      <c r="X12" s="13" t="s">
        <v>688</v>
      </c>
      <c r="Y12" s="13"/>
      <c r="Z12" s="13" t="s">
        <v>461</v>
      </c>
      <c r="AA12" s="13"/>
      <c r="AB12" s="13"/>
      <c r="AC12" s="21">
        <v>45881.6537615741</v>
      </c>
      <c r="AD12" s="21">
        <v>45870.6298148148</v>
      </c>
      <c r="AE12" s="21">
        <v>45870.6353472222</v>
      </c>
      <c r="AF12" s="21">
        <v>45870.6359375</v>
      </c>
      <c r="AG12" s="21">
        <v>45870.6359375</v>
      </c>
      <c r="AH12" s="13"/>
      <c r="AI12" s="13"/>
      <c r="AJ12" s="13"/>
      <c r="AK12" s="13" t="s">
        <v>661</v>
      </c>
      <c r="AL12" s="13"/>
      <c r="AM12" s="13"/>
      <c r="AN12" s="13"/>
      <c r="AO12" s="13"/>
      <c r="AP12" s="13"/>
      <c r="AQ12" s="13" t="s">
        <v>689</v>
      </c>
      <c r="AR12" s="13"/>
      <c r="AS12" s="13"/>
      <c r="AT12" s="13"/>
      <c r="AU12" s="13"/>
      <c r="AV12" s="13" t="s">
        <v>690</v>
      </c>
      <c r="AW12" s="13"/>
      <c r="AX12" s="21"/>
      <c r="AY12" s="1" t="e">
        <f>VLOOKUP(E12,资产表!C:AG,31,0)</f>
        <v>#N/A</v>
      </c>
      <c r="AZ12" s="22">
        <f t="shared" si="0"/>
        <v>7.87</v>
      </c>
      <c r="BA12" s="22">
        <f t="shared" si="1"/>
        <v>0.1</v>
      </c>
      <c r="BB12" s="22" t="str">
        <f t="shared" si="2"/>
        <v/>
      </c>
      <c r="BC12" s="22">
        <f t="shared" si="3"/>
        <v>0.95</v>
      </c>
      <c r="BD12" s="22">
        <f t="shared" si="4"/>
        <v>0.95</v>
      </c>
    </row>
    <row r="13" s="1" customFormat="1" spans="1:56">
      <c r="A13" s="1" t="s">
        <v>315</v>
      </c>
      <c r="B13" s="2">
        <v>45871.5828819444</v>
      </c>
      <c r="C13" s="13" t="s">
        <v>81</v>
      </c>
      <c r="D13" s="13" t="s">
        <v>687</v>
      </c>
      <c r="E13" s="13"/>
      <c r="F13" s="13"/>
      <c r="G13" s="13"/>
      <c r="H13" s="13"/>
      <c r="I13" s="15" t="s">
        <v>654</v>
      </c>
      <c r="J13" s="13" t="s">
        <v>539</v>
      </c>
      <c r="K13" s="13"/>
      <c r="L13" s="13" t="s">
        <v>389</v>
      </c>
      <c r="M13" s="13" t="s">
        <v>659</v>
      </c>
      <c r="N13" s="13" t="s">
        <v>81</v>
      </c>
      <c r="O13" s="18" t="s">
        <v>557</v>
      </c>
      <c r="P13" s="13"/>
      <c r="Q13" s="13"/>
      <c r="R13" s="13"/>
      <c r="S13" s="13" t="s">
        <v>691</v>
      </c>
      <c r="T13" s="13" t="s">
        <v>655</v>
      </c>
      <c r="U13" s="13"/>
      <c r="V13" s="18" t="s">
        <v>557</v>
      </c>
      <c r="W13" s="13"/>
      <c r="X13" s="13" t="s">
        <v>688</v>
      </c>
      <c r="Y13" s="13"/>
      <c r="Z13" s="13" t="s">
        <v>461</v>
      </c>
      <c r="AA13" s="13"/>
      <c r="AB13" s="13"/>
      <c r="AC13" s="21">
        <v>45871.5831597222</v>
      </c>
      <c r="AD13" s="21">
        <v>45871.5763425926</v>
      </c>
      <c r="AE13" s="21">
        <v>45871.5829282407</v>
      </c>
      <c r="AF13" s="21">
        <v>45871.5831597222</v>
      </c>
      <c r="AG13" s="21">
        <v>45871.5831597222</v>
      </c>
      <c r="AH13" s="13"/>
      <c r="AI13" s="13"/>
      <c r="AJ13" s="13"/>
      <c r="AK13" s="13" t="s">
        <v>661</v>
      </c>
      <c r="AL13" s="13"/>
      <c r="AM13" s="13"/>
      <c r="AN13" s="13"/>
      <c r="AO13" s="13"/>
      <c r="AP13" s="13"/>
      <c r="AQ13" s="13" t="s">
        <v>689</v>
      </c>
      <c r="AR13" s="13"/>
      <c r="AS13" s="13"/>
      <c r="AT13" s="13"/>
      <c r="AU13" s="13"/>
      <c r="AV13" s="13" t="s">
        <v>690</v>
      </c>
      <c r="AW13" s="13"/>
      <c r="AX13" s="21"/>
      <c r="AY13" s="1" t="e">
        <f>VLOOKUP(E13,资产表!C:AG,31,0)</f>
        <v>#N/A</v>
      </c>
      <c r="AZ13" s="22">
        <f t="shared" si="0"/>
        <v>9.42</v>
      </c>
      <c r="BA13" s="22">
        <f t="shared" si="1"/>
        <v>0.07</v>
      </c>
      <c r="BB13" s="22" t="str">
        <f t="shared" si="2"/>
        <v/>
      </c>
      <c r="BC13" s="22">
        <f t="shared" si="3"/>
        <v>0.4</v>
      </c>
      <c r="BD13" s="22">
        <f t="shared" si="4"/>
        <v>0.4</v>
      </c>
    </row>
    <row r="14" s="1" customFormat="1" spans="1:56">
      <c r="A14" s="1" t="s">
        <v>124</v>
      </c>
      <c r="B14" s="2">
        <v>46059.4420949074</v>
      </c>
      <c r="C14" s="13" t="s">
        <v>692</v>
      </c>
      <c r="D14" s="13" t="s">
        <v>693</v>
      </c>
      <c r="E14" s="13"/>
      <c r="F14" s="13"/>
      <c r="G14" s="13"/>
      <c r="H14" s="13"/>
      <c r="I14" s="15" t="s">
        <v>665</v>
      </c>
      <c r="J14" s="13" t="s">
        <v>539</v>
      </c>
      <c r="K14" s="13"/>
      <c r="L14" s="13"/>
      <c r="M14" s="13"/>
      <c r="N14" s="13" t="s">
        <v>694</v>
      </c>
      <c r="O14" s="18" t="s">
        <v>695</v>
      </c>
      <c r="P14" s="13" t="s">
        <v>696</v>
      </c>
      <c r="Q14" s="13"/>
      <c r="R14" s="13"/>
      <c r="S14" s="13" t="s">
        <v>547</v>
      </c>
      <c r="T14" s="13"/>
      <c r="U14" s="13"/>
      <c r="V14" s="18" t="s">
        <v>535</v>
      </c>
      <c r="W14" s="13" t="s">
        <v>697</v>
      </c>
      <c r="X14" s="13"/>
      <c r="Y14" s="13"/>
      <c r="Z14" s="13" t="s">
        <v>461</v>
      </c>
      <c r="AA14" s="13"/>
      <c r="AB14" s="13"/>
      <c r="AC14" s="21">
        <v>46081.6274652778</v>
      </c>
      <c r="AD14" s="21"/>
      <c r="AE14" s="21"/>
      <c r="AF14" s="21"/>
      <c r="AG14" s="21">
        <v>46081.6274652778</v>
      </c>
      <c r="AH14" s="13"/>
      <c r="AI14" s="13"/>
      <c r="AJ14" s="13"/>
      <c r="AK14" s="13" t="s">
        <v>661</v>
      </c>
      <c r="AL14" s="13"/>
      <c r="AM14" s="13"/>
      <c r="AN14" s="13"/>
      <c r="AO14" s="13"/>
      <c r="AP14" s="13"/>
      <c r="AQ14" s="13" t="s">
        <v>665</v>
      </c>
      <c r="AR14" s="13"/>
      <c r="AS14" s="13" t="s">
        <v>698</v>
      </c>
      <c r="AT14" s="13"/>
      <c r="AU14" s="13"/>
      <c r="AV14" s="13" t="s">
        <v>699</v>
      </c>
      <c r="AW14" s="13"/>
      <c r="AX14" s="21"/>
      <c r="AY14" s="1" t="e">
        <f>VLOOKUP(E14,资产表!C:AG,31,0)</f>
        <v>#N/A</v>
      </c>
      <c r="AZ14" s="22" t="str">
        <f t="shared" ref="AZ14:AZ20" si="5">IF(A14&lt;&gt;"最新威胁",ROUND((B14-AD14)*24*60,2),"")</f>
        <v/>
      </c>
      <c r="BA14" s="22" t="str">
        <f t="shared" ref="BA14:BA20" si="6">IF(A14&lt;&gt;"最新威胁",IF(ISBLANK(AX14),IF(ISBLANK(AE14),ROUND((AC14-B14)*24*60,2),ROUND((AE14-B14)*24*60,2)),ROUND((AX14-B14)*24*60,2)),"")</f>
        <v/>
      </c>
      <c r="BB14" s="22" t="str">
        <f t="shared" ref="BB14:BB20" si="7">IF(A14&lt;&gt;"最新威胁",IF(ISBLANK(AX14),"",ROUND((AX14-B14)*24*60,2)),"")</f>
        <v/>
      </c>
      <c r="BC14" s="22" t="str">
        <f t="shared" ref="BC14:BC20" si="8">IF(A14&lt;&gt;"最新威胁",IF(ISBLANK(AF14),ROUND((AC14-B14)*24*60,2),ROUND((AF14-B14)*24*60,2)),"")</f>
        <v/>
      </c>
      <c r="BD14" s="22" t="str">
        <f t="shared" ref="BD14:BD20" si="9">IF(A14&lt;&gt;"最新威胁",IF(ISBLANK(AG14),ROUND((AC14-B14)*24*60,2),ROUND((AG14-B14)*24*60,2)),"")</f>
        <v/>
      </c>
    </row>
    <row r="15" s="1" customFormat="1" spans="1:56">
      <c r="A15" s="1" t="s">
        <v>124</v>
      </c>
      <c r="B15" s="2">
        <v>46059.6016087963</v>
      </c>
      <c r="C15" s="13" t="s">
        <v>700</v>
      </c>
      <c r="D15" s="13" t="s">
        <v>701</v>
      </c>
      <c r="E15" s="13"/>
      <c r="F15" s="13"/>
      <c r="G15" s="13"/>
      <c r="H15" s="13"/>
      <c r="I15" s="15" t="s">
        <v>665</v>
      </c>
      <c r="J15" s="13" t="s">
        <v>539</v>
      </c>
      <c r="K15" s="13"/>
      <c r="L15" s="13"/>
      <c r="M15" s="13"/>
      <c r="N15" s="13" t="s">
        <v>702</v>
      </c>
      <c r="O15" s="18" t="s">
        <v>695</v>
      </c>
      <c r="P15" s="13" t="s">
        <v>703</v>
      </c>
      <c r="Q15" s="13"/>
      <c r="R15" s="13"/>
      <c r="S15" s="13" t="s">
        <v>547</v>
      </c>
      <c r="T15" s="13"/>
      <c r="U15" s="13"/>
      <c r="V15" s="20" t="s">
        <v>535</v>
      </c>
      <c r="W15" s="13" t="s">
        <v>697</v>
      </c>
      <c r="X15" s="13"/>
      <c r="Y15" s="13"/>
      <c r="Z15" s="13" t="s">
        <v>461</v>
      </c>
      <c r="AA15" s="13"/>
      <c r="AB15" s="13"/>
      <c r="AC15" s="21">
        <v>46081.6274652778</v>
      </c>
      <c r="AD15" s="21"/>
      <c r="AE15" s="21"/>
      <c r="AF15" s="21"/>
      <c r="AG15" s="21">
        <v>46081.6274652778</v>
      </c>
      <c r="AH15" s="13"/>
      <c r="AI15" s="13"/>
      <c r="AJ15" s="13"/>
      <c r="AK15" s="13" t="s">
        <v>661</v>
      </c>
      <c r="AL15" s="13"/>
      <c r="AM15" s="13"/>
      <c r="AN15" s="13"/>
      <c r="AO15" s="13"/>
      <c r="AP15" s="13"/>
      <c r="AQ15" s="13" t="s">
        <v>665</v>
      </c>
      <c r="AR15" s="13"/>
      <c r="AS15" s="13" t="s">
        <v>698</v>
      </c>
      <c r="AT15" s="13"/>
      <c r="AU15" s="13"/>
      <c r="AV15" s="13" t="s">
        <v>699</v>
      </c>
      <c r="AW15" s="13"/>
      <c r="AX15" s="21"/>
      <c r="AY15" s="1" t="e">
        <f>VLOOKUP(E15,资产表!C:AG,31,0)</f>
        <v>#N/A</v>
      </c>
      <c r="AZ15" s="22" t="str">
        <f t="shared" si="5"/>
        <v/>
      </c>
      <c r="BA15" s="22" t="str">
        <f t="shared" si="6"/>
        <v/>
      </c>
      <c r="BB15" s="22" t="str">
        <f t="shared" si="7"/>
        <v/>
      </c>
      <c r="BC15" s="22" t="str">
        <f t="shared" si="8"/>
        <v/>
      </c>
      <c r="BD15" s="22" t="str">
        <f t="shared" si="9"/>
        <v/>
      </c>
    </row>
    <row r="16" s="1" customFormat="1" spans="1:56">
      <c r="A16" s="1" t="s">
        <v>124</v>
      </c>
      <c r="B16" s="2">
        <v>46079.6532638889</v>
      </c>
      <c r="C16" s="13" t="s">
        <v>692</v>
      </c>
      <c r="D16" s="13" t="s">
        <v>704</v>
      </c>
      <c r="E16" s="13"/>
      <c r="F16" s="13"/>
      <c r="G16" s="13"/>
      <c r="H16" s="13"/>
      <c r="I16" s="15" t="s">
        <v>665</v>
      </c>
      <c r="J16" s="13" t="s">
        <v>539</v>
      </c>
      <c r="K16" s="13"/>
      <c r="L16" s="13"/>
      <c r="M16" s="13"/>
      <c r="N16" s="13" t="s">
        <v>694</v>
      </c>
      <c r="O16" s="18" t="s">
        <v>695</v>
      </c>
      <c r="P16" s="13" t="s">
        <v>705</v>
      </c>
      <c r="Q16" s="13"/>
      <c r="R16" s="13"/>
      <c r="S16" s="13" t="s">
        <v>547</v>
      </c>
      <c r="T16" s="13"/>
      <c r="U16" s="13"/>
      <c r="V16" s="20" t="s">
        <v>535</v>
      </c>
      <c r="W16" s="13" t="s">
        <v>697</v>
      </c>
      <c r="X16" s="13"/>
      <c r="Y16" s="13"/>
      <c r="Z16" s="13" t="s">
        <v>461</v>
      </c>
      <c r="AA16" s="13"/>
      <c r="AB16" s="13"/>
      <c r="AC16" s="21">
        <v>46081.6274652778</v>
      </c>
      <c r="AD16" s="21"/>
      <c r="AE16" s="21"/>
      <c r="AF16" s="21"/>
      <c r="AG16" s="21">
        <v>46081.6274652778</v>
      </c>
      <c r="AH16" s="13"/>
      <c r="AI16" s="13"/>
      <c r="AJ16" s="13"/>
      <c r="AK16" s="13" t="s">
        <v>661</v>
      </c>
      <c r="AL16" s="13"/>
      <c r="AM16" s="13"/>
      <c r="AN16" s="13"/>
      <c r="AO16" s="13"/>
      <c r="AP16" s="13"/>
      <c r="AQ16" s="13" t="s">
        <v>665</v>
      </c>
      <c r="AR16" s="13"/>
      <c r="AS16" s="13" t="s">
        <v>698</v>
      </c>
      <c r="AT16" s="13"/>
      <c r="AU16" s="13"/>
      <c r="AV16" s="13" t="s">
        <v>699</v>
      </c>
      <c r="AW16" s="13"/>
      <c r="AX16" s="21"/>
      <c r="AY16" s="1" t="e">
        <f>VLOOKUP(E16,资产表!C:AG,31,0)</f>
        <v>#N/A</v>
      </c>
      <c r="AZ16" s="22" t="str">
        <f t="shared" si="5"/>
        <v/>
      </c>
      <c r="BA16" s="22" t="str">
        <f t="shared" si="6"/>
        <v/>
      </c>
      <c r="BB16" s="22" t="str">
        <f t="shared" si="7"/>
        <v/>
      </c>
      <c r="BC16" s="22" t="str">
        <f t="shared" si="8"/>
        <v/>
      </c>
      <c r="BD16" s="22" t="str">
        <f t="shared" si="9"/>
        <v/>
      </c>
    </row>
    <row r="17" s="1" customFormat="1" spans="1:56">
      <c r="A17" s="1" t="s">
        <v>124</v>
      </c>
      <c r="B17" s="2">
        <v>46086.4138657407</v>
      </c>
      <c r="C17" s="13" t="s">
        <v>700</v>
      </c>
      <c r="D17" s="13" t="s">
        <v>706</v>
      </c>
      <c r="E17" s="13"/>
      <c r="F17" s="13"/>
      <c r="G17" s="13"/>
      <c r="H17" s="13"/>
      <c r="I17" s="15" t="s">
        <v>665</v>
      </c>
      <c r="J17" s="13" t="s">
        <v>539</v>
      </c>
      <c r="K17" s="13"/>
      <c r="L17" s="13"/>
      <c r="M17" s="13"/>
      <c r="N17" s="13" t="s">
        <v>702</v>
      </c>
      <c r="O17" s="18" t="s">
        <v>695</v>
      </c>
      <c r="P17" s="13" t="s">
        <v>707</v>
      </c>
      <c r="Q17" s="13"/>
      <c r="R17" s="13"/>
      <c r="S17" s="13" t="s">
        <v>547</v>
      </c>
      <c r="T17" s="13"/>
      <c r="U17" s="13"/>
      <c r="V17" s="20" t="s">
        <v>535</v>
      </c>
      <c r="W17" s="13" t="s">
        <v>697</v>
      </c>
      <c r="X17" s="13"/>
      <c r="Y17" s="13"/>
      <c r="Z17" s="13" t="s">
        <v>461</v>
      </c>
      <c r="AA17" s="13"/>
      <c r="AB17" s="13"/>
      <c r="AC17" s="21">
        <v>46086.4369097222</v>
      </c>
      <c r="AD17" s="21"/>
      <c r="AE17" s="21"/>
      <c r="AF17" s="21"/>
      <c r="AG17" s="21">
        <v>46086.4369097222</v>
      </c>
      <c r="AH17" s="13"/>
      <c r="AI17" s="13"/>
      <c r="AJ17" s="13"/>
      <c r="AK17" s="13" t="s">
        <v>661</v>
      </c>
      <c r="AL17" s="13"/>
      <c r="AM17" s="13"/>
      <c r="AN17" s="13"/>
      <c r="AO17" s="13"/>
      <c r="AP17" s="13"/>
      <c r="AQ17" s="13" t="s">
        <v>665</v>
      </c>
      <c r="AR17" s="13"/>
      <c r="AS17" s="13" t="s">
        <v>708</v>
      </c>
      <c r="AT17" s="13"/>
      <c r="AU17" s="13"/>
      <c r="AV17" s="13" t="s">
        <v>709</v>
      </c>
      <c r="AW17" s="13"/>
      <c r="AX17" s="21"/>
      <c r="AY17" s="1" t="e">
        <f>VLOOKUP(E17,资产表!C:AG,31,0)</f>
        <v>#N/A</v>
      </c>
      <c r="AZ17" s="22" t="str">
        <f t="shared" si="5"/>
        <v/>
      </c>
      <c r="BA17" s="22" t="str">
        <f t="shared" si="6"/>
        <v/>
      </c>
      <c r="BB17" s="22" t="str">
        <f t="shared" si="7"/>
        <v/>
      </c>
      <c r="BC17" s="22" t="str">
        <f t="shared" si="8"/>
        <v/>
      </c>
      <c r="BD17" s="22" t="str">
        <f t="shared" si="9"/>
        <v/>
      </c>
    </row>
    <row r="18" s="1" customFormat="1" spans="1:56">
      <c r="A18" s="1" t="s">
        <v>315</v>
      </c>
      <c r="B18" s="2">
        <v>46090.5363888889</v>
      </c>
      <c r="C18" s="13" t="s">
        <v>710</v>
      </c>
      <c r="D18" s="13" t="s">
        <v>711</v>
      </c>
      <c r="E18" s="13"/>
      <c r="F18" s="13"/>
      <c r="G18" s="13"/>
      <c r="H18" s="13"/>
      <c r="I18" s="15" t="s">
        <v>654</v>
      </c>
      <c r="J18" s="13" t="s">
        <v>539</v>
      </c>
      <c r="K18" s="13"/>
      <c r="L18" s="13" t="s">
        <v>389</v>
      </c>
      <c r="M18" s="13" t="s">
        <v>659</v>
      </c>
      <c r="N18" s="13" t="s">
        <v>712</v>
      </c>
      <c r="O18" s="18" t="s">
        <v>557</v>
      </c>
      <c r="P18" s="13"/>
      <c r="Q18" s="13"/>
      <c r="R18" s="13"/>
      <c r="S18" s="13" t="s">
        <v>547</v>
      </c>
      <c r="T18" s="13" t="s">
        <v>477</v>
      </c>
      <c r="U18" s="13"/>
      <c r="V18" s="20" t="s">
        <v>588</v>
      </c>
      <c r="W18" s="13"/>
      <c r="X18" s="13" t="s">
        <v>713</v>
      </c>
      <c r="Y18" s="13"/>
      <c r="Z18" s="13" t="s">
        <v>545</v>
      </c>
      <c r="AA18" s="13"/>
      <c r="AB18" s="13"/>
      <c r="AC18" s="21">
        <v>46097.401724537</v>
      </c>
      <c r="AD18" s="21">
        <v>46090.5352662037</v>
      </c>
      <c r="AE18" s="21">
        <v>46090.5402314815</v>
      </c>
      <c r="AF18" s="21">
        <v>46097.401724537</v>
      </c>
      <c r="AG18" s="21">
        <v>46097.401724537</v>
      </c>
      <c r="AH18" s="13"/>
      <c r="AI18" s="13"/>
      <c r="AJ18" s="13"/>
      <c r="AK18" s="13" t="s">
        <v>661</v>
      </c>
      <c r="AL18" s="13"/>
      <c r="AM18" s="13"/>
      <c r="AN18" s="13"/>
      <c r="AO18" s="13"/>
      <c r="AP18" s="13"/>
      <c r="AQ18" s="13" t="s">
        <v>714</v>
      </c>
      <c r="AR18" s="13"/>
      <c r="AS18" s="13"/>
      <c r="AT18" s="13"/>
      <c r="AU18" s="13"/>
      <c r="AV18" s="13" t="s">
        <v>715</v>
      </c>
      <c r="AW18" s="13" t="s">
        <v>665</v>
      </c>
      <c r="AX18" s="21">
        <v>46090.5402314815</v>
      </c>
      <c r="AY18" s="1" t="e">
        <f>VLOOKUP(E18,资产表!C:AG,31,0)</f>
        <v>#N/A</v>
      </c>
      <c r="AZ18" s="22">
        <f t="shared" si="5"/>
        <v>1.62</v>
      </c>
      <c r="BA18" s="22">
        <f t="shared" si="6"/>
        <v>5.53</v>
      </c>
      <c r="BB18" s="22">
        <f t="shared" si="7"/>
        <v>5.53</v>
      </c>
      <c r="BC18" s="22">
        <f t="shared" si="8"/>
        <v>9886.08</v>
      </c>
      <c r="BD18" s="22">
        <f t="shared" si="9"/>
        <v>9886.08</v>
      </c>
    </row>
    <row r="19" s="1" customFormat="1" spans="1:56">
      <c r="A19" s="1" t="s">
        <v>124</v>
      </c>
      <c r="B19" s="2">
        <v>46091.6809953704</v>
      </c>
      <c r="C19" s="13" t="s">
        <v>692</v>
      </c>
      <c r="D19" s="13" t="s">
        <v>716</v>
      </c>
      <c r="E19" s="13"/>
      <c r="F19" s="13"/>
      <c r="G19" s="13"/>
      <c r="H19" s="13"/>
      <c r="I19" s="15" t="s">
        <v>665</v>
      </c>
      <c r="J19" s="13" t="s">
        <v>539</v>
      </c>
      <c r="K19" s="13"/>
      <c r="L19" s="13"/>
      <c r="M19" s="13"/>
      <c r="N19" s="13" t="s">
        <v>694</v>
      </c>
      <c r="O19" s="18" t="s">
        <v>695</v>
      </c>
      <c r="P19" s="13" t="s">
        <v>717</v>
      </c>
      <c r="Q19" s="13"/>
      <c r="R19" s="13"/>
      <c r="S19" s="13" t="s">
        <v>547</v>
      </c>
      <c r="T19" s="13"/>
      <c r="U19" s="13"/>
      <c r="V19" s="20" t="s">
        <v>535</v>
      </c>
      <c r="W19" s="13" t="s">
        <v>697</v>
      </c>
      <c r="X19" s="13"/>
      <c r="Y19" s="13"/>
      <c r="Z19" s="13" t="s">
        <v>461</v>
      </c>
      <c r="AA19" s="13"/>
      <c r="AB19" s="13"/>
      <c r="AC19" s="21">
        <v>46098.4460300926</v>
      </c>
      <c r="AD19" s="21"/>
      <c r="AE19" s="21"/>
      <c r="AF19" s="21"/>
      <c r="AG19" s="21">
        <v>46098.4460300926</v>
      </c>
      <c r="AH19" s="13"/>
      <c r="AI19" s="13"/>
      <c r="AJ19" s="13"/>
      <c r="AK19" s="13" t="s">
        <v>661</v>
      </c>
      <c r="AL19" s="13"/>
      <c r="AM19" s="13"/>
      <c r="AN19" s="13"/>
      <c r="AO19" s="13"/>
      <c r="AP19" s="13"/>
      <c r="AQ19" s="13" t="s">
        <v>665</v>
      </c>
      <c r="AR19" s="13"/>
      <c r="AS19" s="13" t="s">
        <v>718</v>
      </c>
      <c r="AT19" s="13"/>
      <c r="AU19" s="13"/>
      <c r="AV19" s="13" t="s">
        <v>719</v>
      </c>
      <c r="AW19" s="13"/>
      <c r="AX19" s="21"/>
      <c r="AY19" s="1" t="e">
        <f>VLOOKUP(E19,资产表!C:AG,31,0)</f>
        <v>#N/A</v>
      </c>
      <c r="AZ19" s="22" t="str">
        <f t="shared" si="5"/>
        <v/>
      </c>
      <c r="BA19" s="22" t="str">
        <f t="shared" si="6"/>
        <v/>
      </c>
      <c r="BB19" s="22" t="str">
        <f t="shared" si="7"/>
        <v/>
      </c>
      <c r="BC19" s="22" t="str">
        <f t="shared" si="8"/>
        <v/>
      </c>
      <c r="BD19" s="22" t="str">
        <f t="shared" si="9"/>
        <v/>
      </c>
    </row>
    <row r="20" s="1" customFormat="1" spans="1:56">
      <c r="A20" s="1" t="s">
        <v>124</v>
      </c>
      <c r="B20" s="2">
        <v>46094.6038888889</v>
      </c>
      <c r="C20" s="13" t="s">
        <v>720</v>
      </c>
      <c r="D20" s="13" t="s">
        <v>721</v>
      </c>
      <c r="E20" s="13"/>
      <c r="F20" s="13"/>
      <c r="G20" s="13"/>
      <c r="H20" s="13"/>
      <c r="I20" s="15" t="s">
        <v>665</v>
      </c>
      <c r="J20" s="13" t="s">
        <v>539</v>
      </c>
      <c r="K20" s="13"/>
      <c r="L20" s="13"/>
      <c r="M20" s="13"/>
      <c r="N20" s="13" t="s">
        <v>722</v>
      </c>
      <c r="O20" s="19" t="s">
        <v>695</v>
      </c>
      <c r="P20" s="13" t="s">
        <v>723</v>
      </c>
      <c r="Q20" s="13"/>
      <c r="R20" s="13"/>
      <c r="S20" s="13" t="s">
        <v>547</v>
      </c>
      <c r="T20" s="13"/>
      <c r="U20" s="13"/>
      <c r="V20" s="16" t="s">
        <v>535</v>
      </c>
      <c r="W20" s="13" t="s">
        <v>697</v>
      </c>
      <c r="X20" s="13"/>
      <c r="Y20" s="13"/>
      <c r="Z20" s="13" t="s">
        <v>461</v>
      </c>
      <c r="AA20" s="13"/>
      <c r="AB20" s="13"/>
      <c r="AC20" s="21">
        <v>46094.621712963</v>
      </c>
      <c r="AD20" s="13"/>
      <c r="AE20" s="13"/>
      <c r="AF20" s="21"/>
      <c r="AG20" s="21">
        <v>46094.621712963</v>
      </c>
      <c r="AH20" s="13"/>
      <c r="AI20" s="13"/>
      <c r="AJ20" s="13"/>
      <c r="AK20" s="13" t="s">
        <v>661</v>
      </c>
      <c r="AL20" s="13"/>
      <c r="AM20" s="13"/>
      <c r="AN20" s="13"/>
      <c r="AO20" s="13"/>
      <c r="AP20" s="13"/>
      <c r="AQ20" s="13" t="s">
        <v>665</v>
      </c>
      <c r="AR20" s="13"/>
      <c r="AS20" s="21" t="s">
        <v>724</v>
      </c>
      <c r="AT20" s="13"/>
      <c r="AU20" s="13"/>
      <c r="AV20" s="13" t="s">
        <v>725</v>
      </c>
      <c r="AW20" s="13"/>
      <c r="AX20" s="21"/>
      <c r="AY20" s="1" t="e">
        <f>VLOOKUP(E20,资产表!C:AG,31,0)</f>
        <v>#N/A</v>
      </c>
      <c r="AZ20" s="22" t="str">
        <f t="shared" si="5"/>
        <v/>
      </c>
      <c r="BA20" s="22" t="str">
        <f t="shared" si="6"/>
        <v/>
      </c>
      <c r="BB20" s="22" t="str">
        <f t="shared" si="7"/>
        <v/>
      </c>
      <c r="BC20" s="22" t="str">
        <f t="shared" si="8"/>
        <v/>
      </c>
      <c r="BD20" s="22" t="str">
        <f t="shared" si="9"/>
        <v/>
      </c>
    </row>
  </sheetData>
  <autoFilter ref="A2:BD20">
    <extLst/>
  </autoFilter>
  <mergeCells count="1">
    <mergeCell ref="A1:D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可视化看板</vt:lpstr>
      <vt:lpstr>数据统计</vt:lpstr>
      <vt:lpstr>运营机制</vt:lpstr>
      <vt:lpstr>暴露面</vt:lpstr>
      <vt:lpstr>资产漏洞表</vt:lpstr>
      <vt:lpstr>资产表</vt:lpstr>
      <vt:lpstr>告警表</vt:lpstr>
      <vt:lpstr>事件表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EDY</dc:creator>
  <cp:lastModifiedBy>User</cp:lastModifiedBy>
  <dcterms:created xsi:type="dcterms:W3CDTF">2023-05-19T15:58:00Z</dcterms:created>
  <dcterms:modified xsi:type="dcterms:W3CDTF">2026-09-21T02:13:02Z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BAE9F7C6A69F086D2E409368F7114755_43</vt:lpwstr>
  </property>
  <property fmtid="{D5CDD505-2E9C-101B-9397-08002B2CF9AE}" pid="3" name="KSOProductBuildVer">
    <vt:lpwstr>2052-12.1.0.16729</vt:lpwstr>
  </property>
  <property fmtid="{D5CDD505-2E9C-101B-9397-08002B2CF9AE}" pid="4" name="KSOTemplateUUID">
    <vt:lpwstr>v1.0_mb_VL70KuMiRIZrijaVhgeoWQ==</vt:lpwstr>
  </property>
  <property fmtid="{D5CDD505-2E9C-101B-9397-08002B2CF9AE}" pid="5" name="CalculationRule">
    <vt:i4>0</vt:i4>
  </property>
</Properties>
</file>